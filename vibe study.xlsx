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328"/>
  <workbookPr dateCompatibility="0"/>
  <mc:AlternateContent xmlns:mc="http://schemas.openxmlformats.org/markup-compatibility/2006">
    <mc:Choice Requires="x15">
      <x15ac:absPath xmlns:x15ac="http://schemas.microsoft.com/office/spreadsheetml/2010/11/ac" url="https://sooners-my.sharepoint.com/personal/ayhand_ou_edu/Documents/"/>
    </mc:Choice>
  </mc:AlternateContent>
  <xr:revisionPtr revIDLastSave="0" documentId="10_ncr:8_{34B43600-843B-410F-BB2F-34D8CF526A19}" xr6:coauthVersionLast="47" xr6:coauthVersionMax="47" xr10:uidLastSave="{00000000-0000-0000-0000-000000000000}"/>
  <bookViews>
    <workbookView xWindow="-24645" yWindow="2370" windowWidth="21600" windowHeight="11295" xr2:uid="{4ECCDB17-B534-4768-AF58-8BA5109F6014}"/>
  </bookViews>
  <sheets>
    <sheet name="survey" sheetId="1" r:id="rId1"/>
    <sheet name="survey with sane headers" sheetId="3" r:id="rId2"/>
    <sheet name="video metrics" sheetId="4" r:id="rId3"/>
    <sheet name="video metrics clean" sheetId="6" r:id="rId4"/>
    <sheet name="video metrics notes" sheetId="5" r:id="rId5"/>
    <sheet name="metrics vs experience" sheetId="7" r:id="rId6"/>
  </sheets>
  <calcPr calcId="191028"/>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L20" i="7" l="1"/>
  <c r="O3" i="7"/>
  <c r="O4" i="7"/>
  <c r="O5" i="7"/>
  <c r="O6" i="7"/>
  <c r="O7" i="7"/>
  <c r="O8" i="7"/>
  <c r="O9" i="7"/>
  <c r="O10" i="7"/>
  <c r="O11" i="7"/>
  <c r="O12" i="7"/>
  <c r="O13" i="7"/>
  <c r="O14" i="7"/>
  <c r="O15" i="7"/>
  <c r="O2" i="7"/>
  <c r="A1" i="7" a="1"/>
  <c r="A1" i="7" s="1"/>
  <c r="V15" i="6"/>
  <c r="V14" i="6"/>
  <c r="V13" i="6"/>
  <c r="V12" i="6"/>
  <c r="V11" i="6"/>
  <c r="V10" i="6"/>
  <c r="V9" i="6"/>
  <c r="V8" i="6"/>
  <c r="V7" i="6"/>
  <c r="V6" i="6"/>
  <c r="V5" i="6"/>
  <c r="V4" i="6"/>
  <c r="V3" i="6"/>
  <c r="V2" i="6"/>
  <c r="L15" i="6"/>
  <c r="L14" i="6"/>
  <c r="L13" i="6"/>
  <c r="L12" i="6"/>
  <c r="L11" i="6"/>
  <c r="L10" i="6"/>
  <c r="L9" i="6"/>
  <c r="L8" i="6"/>
  <c r="L7" i="6"/>
  <c r="L6" i="6"/>
  <c r="L5" i="6"/>
  <c r="L4" i="6"/>
  <c r="L3" i="6"/>
  <c r="L2" i="6"/>
  <c r="A1" i="6" a="1"/>
  <c r="A1" i="6" s="1"/>
  <c r="A1" i="4" a="1"/>
  <c r="A1" i="4" s="1"/>
  <c r="A2" i="3" a="1"/>
  <c r="A2" i="3" s="1"/>
  <c r="W16" i="1"/>
  <c r="X16" i="1"/>
  <c r="Y16" i="1"/>
  <c r="Z16" i="1"/>
  <c r="AA16" i="1"/>
  <c r="AB16" i="1"/>
  <c r="AC16" i="1"/>
  <c r="AD16" i="1"/>
  <c r="AE16" i="1"/>
  <c r="AF16" i="1"/>
  <c r="AG16" i="1"/>
  <c r="AH16" i="1"/>
  <c r="AI16" i="1"/>
  <c r="AJ16" i="1"/>
  <c r="AK16" i="1"/>
  <c r="AL16" i="1"/>
  <c r="AM16" i="1"/>
  <c r="AN16" i="1"/>
  <c r="AO16" i="1"/>
  <c r="AP16" i="1"/>
  <c r="AQ16" i="1"/>
  <c r="AR16" i="1"/>
  <c r="AS16" i="1"/>
  <c r="AT16" i="1"/>
  <c r="AU16" i="1"/>
  <c r="AV16" i="1"/>
  <c r="AW16" i="1"/>
  <c r="AX16" i="1"/>
  <c r="W17" i="1"/>
  <c r="X17" i="1"/>
  <c r="Y17" i="1"/>
  <c r="Z17" i="1"/>
  <c r="AA17" i="1"/>
  <c r="AB17" i="1"/>
  <c r="AC17" i="1"/>
  <c r="AD17" i="1"/>
  <c r="AE17" i="1"/>
  <c r="AF17" i="1"/>
  <c r="AG17" i="1"/>
  <c r="AH17" i="1"/>
  <c r="AI17" i="1"/>
  <c r="AJ17" i="1"/>
  <c r="AK17" i="1"/>
  <c r="AL17" i="1"/>
  <c r="AM17" i="1"/>
  <c r="AN17" i="1"/>
  <c r="AO17" i="1"/>
  <c r="AP17" i="1"/>
  <c r="AQ17" i="1"/>
  <c r="AR17" i="1"/>
  <c r="AS17" i="1"/>
  <c r="AT17" i="1"/>
  <c r="AU17" i="1"/>
  <c r="AV17" i="1"/>
  <c r="AW17" i="1"/>
  <c r="AX17" i="1"/>
  <c r="W18" i="1"/>
  <c r="X18" i="1"/>
  <c r="Y18" i="1"/>
  <c r="Z18" i="1"/>
  <c r="AA18" i="1"/>
  <c r="AB18" i="1"/>
  <c r="AC18" i="1"/>
  <c r="AD18" i="1"/>
  <c r="AE18" i="1"/>
  <c r="AF18" i="1"/>
  <c r="AG18" i="1"/>
  <c r="AH18" i="1"/>
  <c r="AI18" i="1"/>
  <c r="AJ18" i="1"/>
  <c r="AK18" i="1"/>
  <c r="AL18" i="1"/>
  <c r="AM18" i="1"/>
  <c r="AN18" i="1"/>
  <c r="AO18" i="1"/>
  <c r="AP18" i="1"/>
  <c r="AQ18" i="1"/>
  <c r="AR18" i="1"/>
  <c r="AS18" i="1"/>
  <c r="AT18" i="1"/>
  <c r="AU18" i="1"/>
  <c r="AV18" i="1"/>
  <c r="AW18" i="1"/>
  <c r="AX18" i="1"/>
  <c r="W19" i="1"/>
  <c r="X19" i="1"/>
  <c r="Y19" i="1"/>
  <c r="Z19" i="1"/>
  <c r="AA19" i="1"/>
  <c r="AB19" i="1"/>
  <c r="AC19" i="1"/>
  <c r="AD19" i="1"/>
  <c r="AE19" i="1"/>
  <c r="AF19" i="1"/>
  <c r="AG19" i="1"/>
  <c r="AH19" i="1"/>
  <c r="AI19" i="1"/>
  <c r="AJ19" i="1"/>
  <c r="AK19" i="1"/>
  <c r="AL19" i="1"/>
  <c r="AM19" i="1"/>
  <c r="AN19" i="1"/>
  <c r="AO19" i="1"/>
  <c r="AP19" i="1"/>
  <c r="AQ19" i="1"/>
  <c r="AR19" i="1"/>
  <c r="AS19" i="1"/>
  <c r="AT19" i="1"/>
  <c r="AU19" i="1"/>
  <c r="AV19" i="1"/>
  <c r="AW19" i="1"/>
  <c r="AX19" i="1"/>
  <c r="W20" i="1"/>
  <c r="X20" i="1"/>
  <c r="Y20" i="1"/>
  <c r="Z20" i="1"/>
  <c r="AA20" i="1"/>
  <c r="AB20" i="1"/>
  <c r="AC20" i="1"/>
  <c r="AD20" i="1"/>
  <c r="AE20" i="1"/>
  <c r="AF20" i="1"/>
  <c r="AG20" i="1"/>
  <c r="AH20" i="1"/>
  <c r="AI20" i="1"/>
  <c r="AJ20" i="1"/>
  <c r="AK20" i="1"/>
  <c r="AL20" i="1"/>
  <c r="AM20" i="1"/>
  <c r="AN20" i="1"/>
  <c r="AO20" i="1"/>
  <c r="AP20" i="1"/>
  <c r="AQ20" i="1"/>
  <c r="AR20" i="1"/>
  <c r="AS20" i="1"/>
  <c r="AT20" i="1"/>
  <c r="AU20" i="1"/>
  <c r="AV20" i="1"/>
  <c r="AW20" i="1"/>
  <c r="AX20" i="1"/>
  <c r="V20" i="1"/>
  <c r="V19" i="1"/>
  <c r="V18" i="1"/>
  <c r="V17" i="1"/>
  <c r="V16" i="1"/>
</calcChain>
</file>

<file path=xl/metadata.xml><?xml version="1.0" encoding="utf-8"?>
<metadata xmlns="http://purl.oclc.org/ooxml/spreadsheetml/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<sst xmlns="http://purl.oclc.org/ooxml/spreadsheetml/main" count="671" uniqueCount="216">
  <si>
    <t>Start Date</t>
  </si>
  <si>
    <t>End Date</t>
  </si>
  <si>
    <t>Recorded Date</t>
  </si>
  <si>
    <t>Response ID</t>
  </si>
  <si>
    <t>1. Age</t>
  </si>
  <si>
    <t>2. Gender</t>
  </si>
  <si>
    <t>3. Hand Dominance</t>
  </si>
  <si>
    <t>4. Ethnicity</t>
  </si>
  <si>
    <t>5. Please indicate your current position below (Fill out only one, please indicate your year): - Fellow / Year</t>
  </si>
  <si>
    <t>5. Please indicate your current position below (Fill out only one, please indicate your year): - Advanced Endoscopy Fellow</t>
  </si>
  <si>
    <t>5. Please indicate your current position below (Fill out only one, please indicate your year): - Attending / Years in Practice</t>
  </si>
  <si>
    <t>6. Approximately how many endoscopies have you performed? - Approximately how many were performed in the last 6 months?</t>
  </si>
  <si>
    <t>6. Approximately how many endoscopies have you performed? - Approximately how many performed in career?</t>
  </si>
  <si>
    <t>6. Approximately how many endoscopies have you performed? - Approximately how many endoscopic suturing cases performed?</t>
  </si>
  <si>
    <t>6. Approximately how many endoscopies have you performed? - Approximately how many endoscopic sleeve gastroplasty procedures performed ?</t>
  </si>
  <si>
    <t>7. Do you consider yourself an active video game or mobile-game player?</t>
  </si>
  <si>
    <t>8. If YES, during an average week, how many hours will you spend playing video games?</t>
  </si>
  <si>
    <t>9. Have you ever used Virtual Reality?</t>
  </si>
  <si>
    <t>10. If YES, during an average week, how many hours will you spend playing games in Virtual Reality?</t>
  </si>
  <si>
    <t>11. Have you ever used a virtual reality based surgical/endoscopy simulator?</t>
  </si>
  <si>
    <t>12. If YES, which one?</t>
  </si>
  <si>
    <t>1. Please rate the degree of realism of APC marking (how realistic it looks) in the simulation.
(Not Realistic:1 --- Very Realistic:5) - 1</t>
  </si>
  <si>
    <t>2. Please rate the degree of realism of the tissue grasping (how realistic it looks) in the simulation.
(Not Realistic:1 --- Very Realistic:5) - 1</t>
  </si>
  <si>
    <t>3. Please rate the degree of realism of the suturing with the needle driver (how realistic it looks) in the simulation.
(Not Realistic:1 --- Very Realistic:5) - 1</t>
  </si>
  <si>
    <t>4. Please rate the degree of realism of the overall suturing task (how realistic it looks) in the simulation.
(Not Realistic:1 --- Very Realistic:5) - 1</t>
  </si>
  <si>
    <t>5. Please rate the degree of realism of the overall suturing task (how realistic it feels) in the simulation.
(Not Realistic:1 --- Very Realistic:5) - 1</t>
  </si>
  <si>
    <t>6. Please rate the degree of realism of the anchor exchange (how realistic it looks) in the simulation.
(Not Realistic:1 --- Very Realistic:5) - 1</t>
  </si>
  <si>
    <t>7. Please rate the degree of realism of cinching (how realistic it looks) in the simulation.
(Not Realistic:1 --- Very Realistic:5) - 1</t>
  </si>
  <si>
    <t>8. Please rate the degree of realism of the instrument handling (how realistic it looks) in the simulation.
(Not Realistic:1 --- Very Realistic:5) - 1</t>
  </si>
  <si>
    <t>9. Please rate the degree of realism of the anatomy (how realistic it looks) in the simulation.
(Not Realistic:1 --- Very Realistic:5) - 1</t>
  </si>
  <si>
    <t>10. Please rate the degree of overall realism of the simulation (how it looks).
(Not Realistic:1 --- Very Realistic:5) - 1</t>
  </si>
  <si>
    <t>11. Please rate the degree of overall realism of the mechanical/scope portion of the simulator.
(Not Realistic:1 --- Very Realistic:5) - 1</t>
  </si>
  <si>
    <t>12. Please rate the degree of realism of the bleeding.
(Not Realistic:1 --- Very Realistic:5) - 1</t>
  </si>
  <si>
    <t>13. Please rate the degree of realism of the force feedback.
(Not Realistic:1 --- Very Realistic:5) - 1</t>
  </si>
  <si>
    <t>14. Please rate the degree of usefulness of the force feedback in the simulation in helping your performance.
(Not Realistic:1 --- Very Realistic:5) - 1</t>
  </si>
  <si>
    <t>15. Please rate the responsiveness/accuracy of the endoscopic insertion tube.
(Noticeable Delay:1 --- Very Responsive :5) - 1</t>
  </si>
  <si>
    <t>16. Please rate the responsiveness of the endoscopic suturing trigger commands.
(Noticeable Delay:1 --- Very Responsive:5) - 1</t>
  </si>
  <si>
    <t>17. Please rate the responsiveness of the tissue helix hardware accessory.
(Noticeable Delay:1 --- Very Responsive:5) - 1</t>
  </si>
  <si>
    <t>18. Please rate the degree of overall realism of the simulation (how it feels).
(Not Realistic:1 --- Very Realistic:5) - 1</t>
  </si>
  <si>
    <t>19. Please rate the immersiveness of the overall simulator.
(Not Immersive:1 --- Very Immersive:5) - 1</t>
  </si>
  <si>
    <t>20. Please rate the effectiveness of using virtual reality in this simulator.
(Not Effective     :1 --- Very Effective     :5) - 1</t>
  </si>
  <si>
    <t>21. Please rate the effectiveness of having a second monitor (“Birds’ eye view”) in the simulator.
(Not Effective     :1 --- Very Effective     :5) - 1</t>
  </si>
  <si>
    <t>22. Please rate the overall responsiveness/delay of the simulator.
(Noticeable Delay          :1 --- Very Responsive      :5) - 1</t>
  </si>
  <si>
    <t>23. Please rate the usefulness of the simulation in learning hand-eye coordination skills.
(Not Useful     :1 --- Very Useful       :5) - 1</t>
  </si>
  <si>
    <t>24. Please rate the degree of overall usefulness for improving the endoscopic technical skills.
(Not Useful     :1 --- Very Useful       :5) - 1</t>
  </si>
  <si>
    <t>25. Please rate your assessment of how trustworthy the simulation is to quantify accurate measures of performance.
(Not Trustworthy :1 --- Very Trustworthy       :5) - 1</t>
  </si>
  <si>
    <t>26. Please rate the importance of having an assistant in the OR.
(Not Important :1 --- Very Important :5) - 1</t>
  </si>
  <si>
    <t>27. For future, please rate the importance of having a virtual assistant in the simulator to use the tissue helix.
(Not Important :1 --- Very Important :5) - 1</t>
  </si>
  <si>
    <t>28. For future, please rate the importance of having a virtual assistant in the simulator to use the cinch.
(Not Important :1 --- Very Important :5) - 1</t>
  </si>
  <si>
    <t>29. For future, please rate the overall importance of having a virtual assistant in the simulator.
(Not Important :1 --- Very Important :5) - 1</t>
  </si>
  <si>
    <t>30. What do you think we should do to make the simulation look or feel more realistic (e.g., perceptual cues, or additional features)?</t>
  </si>
  <si>
    <t>R_5qVjsvNV1nUQQkF</t>
  </si>
  <si>
    <t>Male</t>
  </si>
  <si>
    <t>Right</t>
  </si>
  <si>
    <t>Other</t>
  </si>
  <si>
    <t/>
  </si>
  <si>
    <t>No</t>
  </si>
  <si>
    <t>&lt;1 hour</t>
  </si>
  <si>
    <t>Yes</t>
  </si>
  <si>
    <t>the simulator screen should show the ednoscopist hand holding the scope. improve forward and backward scope movement, make the suture transfer close to reality</t>
  </si>
  <si>
    <t>R_5HRCaY9LEPHziQY</t>
  </si>
  <si>
    <t>White</t>
  </si>
  <si>
    <t>R_60OsKhgbCIBwRyd</t>
  </si>
  <si>
    <t>Perceptual cues</t>
  </si>
  <si>
    <t>R_5mSw8HPevBLdV4d</t>
  </si>
  <si>
    <t>the scope buttons function completely different to a physical scope-so new hand eye coordination skills have to be leanred to be able to perform this assessment which takes away from the experience</t>
  </si>
  <si>
    <t>R_3do5dDARlTtFow2</t>
  </si>
  <si>
    <t xml:space="preserve">1) Improve movements (1 to 1) of endoscope torsion, advancement with virtual movements. 2) Change controls to more accurately align with suturing maneuvers. 3) Try to make it less likely for the simulation to exit or move through the wall of the stomach with movements </t>
  </si>
  <si>
    <t>R_3NQyd680PZZcMFY</t>
  </si>
  <si>
    <t>Asian</t>
  </si>
  <si>
    <t>R_3Hkd05oftH0A6pH</t>
  </si>
  <si>
    <t>Female</t>
  </si>
  <si>
    <t xml:space="preserve">- The scope handling - buttons used for specific commands and technique is not similar to endosuturing in real life. 
- would integrate view of the endoscope within the virtual simulator window. I felt that I was searching/feeling for buttons and knobs since I could not see them 
- This could be helpful for a beginner however needs significant improvement if it is to assist someone used to performing endo-suturing. 
</t>
  </si>
  <si>
    <t>R_79nPOftvEFuZG7H</t>
  </si>
  <si>
    <t xml:space="preserve">Make the tool commands more realistic (to real life). Make anchor exchange, tighten and cinch more realistic.  The insertion tube is overly sensitive.  Allow for torque of insertion tube. Consider entirely virtual commands. </t>
  </si>
  <si>
    <t>R_32xqPOxwfN2c99H</t>
  </si>
  <si>
    <t>Hispanic</t>
  </si>
  <si>
    <t>medtronic polyp detector</t>
  </si>
  <si>
    <t>the scope currently is too sensitive to movement and the controls are not realistic would be better if the normal suturing controls would be used</t>
  </si>
  <si>
    <t>R_31iOAJPZHN3HzBN</t>
  </si>
  <si>
    <t>Left</t>
  </si>
  <si>
    <t>many tasks not performed</t>
  </si>
  <si>
    <t>R_5fW7FlSpdkUrMsx</t>
  </si>
  <si>
    <t>R_1pxhkUPBiImXy49</t>
  </si>
  <si>
    <t>3-5 hours</t>
  </si>
  <si>
    <t>R_1iqcLpIrD5JO3Sm</t>
  </si>
  <si>
    <t>Black or African American</t>
  </si>
  <si>
    <t>1-3 hours</t>
  </si>
  <si>
    <t>Less sensitive movement of the endoscope, better depth perception</t>
  </si>
  <si>
    <t>R_7AR4rAcE50b1LFO</t>
  </si>
  <si>
    <t>Making it so you can't go through the stomach tissue walls - the movement of the insertion tube were very sensitive compared to endoscopy. Otherwise, having an assistant available for which controls to use for which device was very helpful. I'd also have functionality to go back and for from suturing to marking in case there is an issue to avoid having to restart. Thanks so much!</t>
  </si>
  <si>
    <t>average</t>
  </si>
  <si>
    <t>median</t>
  </si>
  <si>
    <t>mode</t>
  </si>
  <si>
    <t>min</t>
  </si>
  <si>
    <t>max</t>
  </si>
  <si>
    <t>Age</t>
  </si>
  <si>
    <t>Gender</t>
  </si>
  <si>
    <t>Hand Dominance</t>
  </si>
  <si>
    <t>Ethnicity</t>
  </si>
  <si>
    <t>Years as Fellow</t>
  </si>
  <si>
    <t>Years as Advanced Endoscopy Fellow</t>
  </si>
  <si>
    <t>Years in Practice</t>
  </si>
  <si>
    <t>Endoscopies in Last 6 Months</t>
  </si>
  <si>
    <t>Total Endoscopies</t>
  </si>
  <si>
    <t>Total Endoscopic Suturing Cases</t>
  </si>
  <si>
    <t>Total ESGs</t>
  </si>
  <si>
    <t>Is Gamer</t>
  </si>
  <si>
    <t>Weekly Time Spent Gaming</t>
  </si>
  <si>
    <t>Used VR Before</t>
  </si>
  <si>
    <t>Weekly Time Spent Gaming in VR</t>
  </si>
  <si>
    <t>Used VR Surgical/Endoscopy Simulator Before</t>
  </si>
  <si>
    <t>VR Simulator Previously Used</t>
  </si>
  <si>
    <t>Marking Look Realism</t>
  </si>
  <si>
    <t>Grasping Look Realism</t>
  </si>
  <si>
    <t>Suturing Needle Look Realism</t>
  </si>
  <si>
    <t>Suturing Overall Look Realism</t>
  </si>
  <si>
    <t>Suturing Overall Feel Realism</t>
  </si>
  <si>
    <t>Anchor Exchange Look Realism</t>
  </si>
  <si>
    <t>Cinch Look Realism</t>
  </si>
  <si>
    <t>Instrument Handling Look Realism</t>
  </si>
  <si>
    <t>Anatomy Look Realism</t>
  </si>
  <si>
    <t>Overall Look Realism</t>
  </si>
  <si>
    <t>Overall Mechanical Realism</t>
  </si>
  <si>
    <t>Bleeding Realism</t>
  </si>
  <si>
    <t>Haptic Realism</t>
  </si>
  <si>
    <t>Haptic Usefulness</t>
  </si>
  <si>
    <t>Tube Responsiveness/Accuracy</t>
  </si>
  <si>
    <t>Suture Trigger Responsiveness</t>
  </si>
  <si>
    <t>Helix Responsiveness</t>
  </si>
  <si>
    <t>Overall Feel Realism</t>
  </si>
  <si>
    <t>Overall Immersiveness</t>
  </si>
  <si>
    <t>VR Effectiveness</t>
  </si>
  <si>
    <t>Bird's Eye Effectiveness</t>
  </si>
  <si>
    <t>Overall Responsiveness</t>
  </si>
  <si>
    <t>Hand-Eye Coordination Usefulness</t>
  </si>
  <si>
    <t>Overall Training Usefulness</t>
  </si>
  <si>
    <t>Assessment Trustworthiness</t>
  </si>
  <si>
    <t>OR Assistant Importance</t>
  </si>
  <si>
    <t>Virtual Assistant Helix Importance</t>
  </si>
  <si>
    <t>Virtual Assistant Cinch Importance</t>
  </si>
  <si>
    <t>Virtual Assistant Overall Importance</t>
  </si>
  <si>
    <t>Realism Suggestions/Other</t>
  </si>
  <si>
    <t>Marking: Left Stomach</t>
  </si>
  <si>
    <t>Marking: Returned After Leaving</t>
  </si>
  <si>
    <t>Suture: Left Stomach</t>
  </si>
  <si>
    <t>Suture: Returned After Leaving</t>
  </si>
  <si>
    <t>Suture: Accidental Anchor Exchanges</t>
  </si>
  <si>
    <t>Marking: Time Taken</t>
  </si>
  <si>
    <t>Suture: Time Taken</t>
  </si>
  <si>
    <t>no</t>
  </si>
  <si>
    <t>yes</t>
  </si>
  <si>
    <t>2.635-3:49.442</t>
  </si>
  <si>
    <t>Suture: Successful Bites</t>
  </si>
  <si>
    <t>Suture: Anchor Exchange Before First Bite</t>
  </si>
  <si>
    <t>Suture: Bites Near Marks</t>
  </si>
  <si>
    <t>3:49.442-9:19.083</t>
  </si>
  <si>
    <t>Trials</t>
  </si>
  <si>
    <t>Trials Minus Crashes</t>
  </si>
  <si>
    <t>3.202-9:22.253</t>
  </si>
  <si>
    <t>Procedure Progress</t>
  </si>
  <si>
    <t>partial suture</t>
  </si>
  <si>
    <t>9:22.253-16:35.700</t>
  </si>
  <si>
    <t>Failure Reason</t>
  </si>
  <si>
    <t>left stomach</t>
  </si>
  <si>
    <t>gave up</t>
  </si>
  <si>
    <t>2.335-9:57.677</t>
  </si>
  <si>
    <t>full marking</t>
  </si>
  <si>
    <t>sim stopped responding</t>
  </si>
  <si>
    <t>9:57.677-14:41.172</t>
  </si>
  <si>
    <t>3.402-3:18.870</t>
  </si>
  <si>
    <t>complete</t>
  </si>
  <si>
    <t>0.000-9:57.660</t>
  </si>
  <si>
    <t>marking starts on the frame when endo feed appears on tv, ends and suture starts on the frame instructions_tv switches to "phase: suture", suture ends on the frame cinch is dropped for a complete run</t>
  </si>
  <si>
    <t>3.687-4:41.443</t>
  </si>
  <si>
    <t>W-4 restarted after bite 3 because the stomach disappeared, immediately went to suturing, counting suture phase bites and timing from second try</t>
  </si>
  <si>
    <t>cinched</t>
  </si>
  <si>
    <t>W-5 restarted after bite 1 because the stomach disappeared, immediately went to suturing, gave up before dropping cinch, counting bites and suture timing from second try</t>
  </si>
  <si>
    <t>9:40.532-22:25.923</t>
  </si>
  <si>
    <t>0.000-4:19.662</t>
  </si>
  <si>
    <t>Th-1 suture phase starts at the jump cut where I fixed the needle. He also accidentally anchor exchanged while trying to drop ttag, included that in accidental exchanges</t>
  </si>
  <si>
    <t>4:29.052-14:38.937</t>
  </si>
  <si>
    <t>0.000-2:50.267</t>
  </si>
  <si>
    <t>2:50.267-11:19.417</t>
  </si>
  <si>
    <t>11.508-2:31.237</t>
  </si>
  <si>
    <t>2:31.237-7:22.803</t>
  </si>
  <si>
    <t>Suture: Full Cinch</t>
  </si>
  <si>
    <t>(3) 5.120-1:20.872</t>
  </si>
  <si>
    <t>(4) 17.012-4:45.012</t>
  </si>
  <si>
    <t>3.502-4:54.535</t>
  </si>
  <si>
    <t>sim crashed</t>
  </si>
  <si>
    <t>4:54.535-15:33.542</t>
  </si>
  <si>
    <t>Suture: Dropped Cinch</t>
  </si>
  <si>
    <t>near ttag</t>
  </si>
  <si>
    <t>(2) 59.758-3:33.230</t>
  </si>
  <si>
    <t>(2) 3:33.230-15:22.350</t>
  </si>
  <si>
    <t>Th-3 yote himself out of stomach in trial 1, crashed in trials 2 and 3, immediately went to suturing in 4</t>
  </si>
  <si>
    <t>(2) 5.037-3:49.558</t>
  </si>
  <si>
    <t>Suture: U-Shaped Suture</t>
  </si>
  <si>
    <t>(2) 3:49.558-12:24.878</t>
  </si>
  <si>
    <t>not near ttag</t>
  </si>
  <si>
    <t>(4) 2.752-3:39.200</t>
  </si>
  <si>
    <t>(4) 3:39.200-11:46.000</t>
  </si>
  <si>
    <t>stomach disappeared, didn't bother to drop cinch</t>
  </si>
  <si>
    <t>F-5 crashed in trial 2, immediately went to suturing in 3</t>
  </si>
  <si>
    <t>(2) 3.653-3:39.450</t>
  </si>
  <si>
    <t>(3) 23.383-8:52.765</t>
  </si>
  <si>
    <t>perf_scoring</t>
  </si>
  <si>
    <t>video_scoring</t>
  </si>
  <si>
    <t>expert?</t>
  </si>
  <si>
    <t>metric totals</t>
  </si>
  <si>
    <t>Marking: Mark Type</t>
  </si>
  <si>
    <t>parallel lines</t>
  </si>
  <si>
    <t>dots</t>
  </si>
  <si>
    <t>something else</t>
  </si>
  <si>
    <t>nonparallel lines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</si>
</sst>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indexed="22"/>
      </patternFill>
    </fill>
  </fills>
  <borders count="1">
    <border>
      <start/>
      <end/>
      <top/>
      <bottom/>
      <diagonal/>
    </border>
  </borders>
  <cellStyleXfs count="1">
    <xf numFmtId="0" fontId="0" fillId="0" borderId="0"/>
  </cellStyleXfs>
  <cellXfs count="8">
    <xf numFmtId="0" fontId="0" fillId="0" borderId="0" xfId="0"/>
    <xf numFmtId="0" fontId="0" fillId="2" borderId="0" xfId="0" applyFill="1"/>
    <xf numFmtId="22" fontId="0" fillId="0" borderId="0" xfId="0" applyNumberFormat="1"/>
    <xf numFmtId="49" fontId="0" fillId="0" borderId="0" xfId="0" applyNumberFormat="1" applyAlignment="1">
      <alignment wrapText="1"/>
    </xf>
    <xf numFmtId="0" fontId="0" fillId="0" borderId="0" xfId="0" applyAlignment="1">
      <alignment wrapText="1"/>
    </xf>
    <xf numFmtId="1" fontId="0" fillId="0" borderId="0" xfId="0" applyNumberFormat="1" applyAlignment="1">
      <alignment wrapText="1"/>
    </xf>
    <xf numFmtId="49"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styles" Target="styles.xml"/><Relationship Id="rId3" Type="http://purl.oclc.org/ooxml/officeDocument/relationships/worksheet" Target="worksheets/sheet3.xml"/><Relationship Id="rId7"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calcChain" Target="calcChain.xml"/><Relationship Id="rId5" Type="http://purl.oclc.org/ooxml/officeDocument/relationships/worksheet" Target="worksheets/sheet5.xml"/><Relationship Id="rId10" Type="http://purl.oclc.org/ooxml/officeDocument/relationships/sheetMetadata" Target="metadata.xml"/><Relationship Id="rId4" Type="http://purl.oclc.org/ooxml/officeDocument/relationships/worksheet" Target="worksheets/sheet4.xml"/><Relationship Id="rId9"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purl.oclc.org/ooxml/officeDocument/relationships/printerSettings" Target="../printerSettings/printerSettings1.bin"/></Relationships>
</file>

<file path=xl/worksheets/_rels/sheet3.xml.rels><?xml version="1.0" encoding="UTF-8" standalone="yes"?>
<Relationships xmlns="http://schemas.openxmlformats.org/package/2006/relationships"><Relationship Id="rId1" Type="http://purl.oclc.org/ooxml/officeDocument/relationships/printerSettings" Target="../printerSettings/printerSettings2.bin"/></Relationships>
</file>

<file path=xl/worksheets/_rels/sheet4.xml.rels><?xml version="1.0" encoding="UTF-8" standalone="yes"?>
<Relationships xmlns="http://schemas.openxmlformats.org/package/2006/relationships"><Relationship Id="rId1" Type="http://purl.oclc.org/ooxml/officeDocument/relationships/printerSettings" Target="../printerSettings/printerSettings3.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71D5F-D425-4DE7-8C73-35FD35738A6E}">
  <dimension ref="A1:AY20"/>
  <sheetViews>
    <sheetView tabSelected="1" topLeftCell="U1" workbookViewId="0">
      <pane ySplit="1" topLeftCell="A2" activePane="bottomLeft" state="frozen"/>
      <selection pane="bottomLeft" activeCell="V1" sqref="V1"/>
    </sheetView>
  </sheetViews>
  <sheetFormatPr defaultRowHeight="15" x14ac:dyDescent="0.25"/>
  <cols>
    <col min="1" max="3" width="15.5703125" bestFit="1" customWidth="1"/>
    <col min="4" max="4" width="20.140625" customWidth="1"/>
    <col min="51" max="51" width="119.85546875" bestFit="1" customWidth="1"/>
  </cols>
  <sheetData>
    <row r="1" spans="1: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ht="30" x14ac:dyDescent="0.25">
      <c r="A2" s="2" t="d">
        <v>2025-06-04T08:22:54.99999976716935850</v>
      </c>
      <c r="B2" s="2" t="d">
        <v>2025-06-04T09:36:56.00000001490116300</v>
      </c>
      <c r="C2" s="2" t="d">
        <v>2025-06-04T09:36:56.94599983748048325</v>
      </c>
      <c r="D2" s="3" t="s">
        <v>51</v>
      </c>
      <c r="E2" s="4">
        <v>33</v>
      </c>
      <c r="F2" s="3" t="s">
        <v>52</v>
      </c>
      <c r="G2" s="3" t="s">
        <v>53</v>
      </c>
      <c r="H2" s="3" t="s">
        <v>54</v>
      </c>
      <c r="I2" s="5" t="s">
        <v>55</v>
      </c>
      <c r="J2" s="5">
        <v>1</v>
      </c>
      <c r="K2" s="5" t="s">
        <v>55</v>
      </c>
      <c r="L2" s="5">
        <v>0</v>
      </c>
      <c r="M2" s="5">
        <v>0</v>
      </c>
      <c r="N2" s="5">
        <v>20</v>
      </c>
      <c r="O2" s="5">
        <v>0</v>
      </c>
      <c r="P2" s="3" t="s">
        <v>56</v>
      </c>
      <c r="Q2" s="3" t="s">
        <v>57</v>
      </c>
      <c r="R2" s="3" t="s">
        <v>58</v>
      </c>
      <c r="S2" s="3" t="s">
        <v>57</v>
      </c>
      <c r="T2" s="3" t="s">
        <v>56</v>
      </c>
      <c r="U2" s="3" t="s">
        <v>55</v>
      </c>
      <c r="V2">
        <v>4</v>
      </c>
      <c r="W2">
        <v>3</v>
      </c>
      <c r="X2">
        <v>3</v>
      </c>
      <c r="Y2">
        <v>3</v>
      </c>
      <c r="Z2">
        <v>3</v>
      </c>
      <c r="AA2">
        <v>2</v>
      </c>
      <c r="AB2">
        <v>2</v>
      </c>
      <c r="AC2">
        <v>4</v>
      </c>
      <c r="AD2">
        <v>3</v>
      </c>
      <c r="AE2">
        <v>3</v>
      </c>
      <c r="AF2">
        <v>3</v>
      </c>
      <c r="AG2">
        <v>2</v>
      </c>
      <c r="AH2">
        <v>2</v>
      </c>
      <c r="AI2">
        <v>2</v>
      </c>
      <c r="AJ2">
        <v>3</v>
      </c>
      <c r="AK2">
        <v>3</v>
      </c>
      <c r="AL2">
        <v>4</v>
      </c>
      <c r="AM2">
        <v>3</v>
      </c>
      <c r="AN2">
        <v>3</v>
      </c>
      <c r="AO2">
        <v>3</v>
      </c>
      <c r="AP2">
        <v>5</v>
      </c>
      <c r="AQ2">
        <v>3</v>
      </c>
      <c r="AR2">
        <v>4</v>
      </c>
      <c r="AS2">
        <v>4</v>
      </c>
      <c r="AT2">
        <v>3</v>
      </c>
      <c r="AU2">
        <v>5</v>
      </c>
      <c r="AV2">
        <v>5</v>
      </c>
      <c r="AW2">
        <v>5</v>
      </c>
      <c r="AX2">
        <v>5</v>
      </c>
      <c r="AY2" s="3" t="s">
        <v>59</v>
      </c>
    </row>
    <row r="3" spans="1:51" x14ac:dyDescent="0.25">
      <c r="A3" s="2" t="d">
        <v>2025-06-04T08:27:17.000000034458935050</v>
      </c>
      <c r="B3" s="2" t="d">
        <v>2025-06-04T12:17:48.99999969173222925</v>
      </c>
      <c r="C3" s="2" t="d">
        <v>2025-06-04T12:17:49.5770000573247675</v>
      </c>
      <c r="D3" s="3" t="s">
        <v>60</v>
      </c>
      <c r="E3" s="4">
        <v>31</v>
      </c>
      <c r="F3" s="3" t="s">
        <v>52</v>
      </c>
      <c r="G3" s="3" t="s">
        <v>53</v>
      </c>
      <c r="H3" s="3" t="s">
        <v>61</v>
      </c>
      <c r="I3" s="5">
        <v>2</v>
      </c>
      <c r="J3" s="5" t="s">
        <v>55</v>
      </c>
      <c r="K3" s="5" t="s">
        <v>55</v>
      </c>
      <c r="L3" s="5">
        <v>100</v>
      </c>
      <c r="M3" s="5">
        <v>1000</v>
      </c>
      <c r="N3" s="5">
        <v>5</v>
      </c>
      <c r="O3" s="5">
        <v>0</v>
      </c>
      <c r="P3" s="3" t="s">
        <v>56</v>
      </c>
      <c r="Q3" s="3" t="s">
        <v>55</v>
      </c>
      <c r="R3" s="3" t="s">
        <v>58</v>
      </c>
      <c r="S3" s="3" t="s">
        <v>57</v>
      </c>
      <c r="T3" s="3" t="s">
        <v>56</v>
      </c>
      <c r="U3" s="3" t="s">
        <v>55</v>
      </c>
      <c r="V3">
        <v>2</v>
      </c>
      <c r="W3">
        <v>2</v>
      </c>
      <c r="X3">
        <v>2</v>
      </c>
      <c r="Y3">
        <v>2</v>
      </c>
      <c r="Z3">
        <v>3</v>
      </c>
      <c r="AA3">
        <v>2</v>
      </c>
      <c r="AB3">
        <v>2</v>
      </c>
      <c r="AC3">
        <v>2</v>
      </c>
      <c r="AD3">
        <v>3</v>
      </c>
      <c r="AE3">
        <v>2</v>
      </c>
      <c r="AF3">
        <v>2</v>
      </c>
      <c r="AG3">
        <v>2</v>
      </c>
      <c r="AH3">
        <v>2</v>
      </c>
      <c r="AI3">
        <v>2</v>
      </c>
      <c r="AJ3">
        <v>3</v>
      </c>
      <c r="AK3">
        <v>2</v>
      </c>
      <c r="AL3">
        <v>2</v>
      </c>
      <c r="AM3">
        <v>2</v>
      </c>
      <c r="AN3">
        <v>4</v>
      </c>
      <c r="AO3">
        <v>3</v>
      </c>
      <c r="AP3">
        <v>3</v>
      </c>
      <c r="AQ3">
        <v>1</v>
      </c>
      <c r="AR3">
        <v>1</v>
      </c>
      <c r="AS3">
        <v>2</v>
      </c>
      <c r="AT3">
        <v>2</v>
      </c>
      <c r="AU3">
        <v>4</v>
      </c>
      <c r="AV3">
        <v>4</v>
      </c>
      <c r="AW3">
        <v>4</v>
      </c>
      <c r="AX3">
        <v>4</v>
      </c>
      <c r="AY3" s="3" t="s">
        <v>55</v>
      </c>
    </row>
    <row r="4" spans="1:51" x14ac:dyDescent="0.25">
      <c r="A4" s="2" t="d">
        <v>2025-06-04T12:19:01.00000017788261475</v>
      </c>
      <c r="B4" s="2" t="d">
        <v>2025-06-04T12:47:05.00000030267983800</v>
      </c>
      <c r="C4" s="2" t="d">
        <v>2025-06-04T12:47:05.63799975905567175</v>
      </c>
      <c r="D4" s="3" t="s">
        <v>62</v>
      </c>
      <c r="E4" s="4">
        <v>35</v>
      </c>
      <c r="F4" s="3" t="s">
        <v>52</v>
      </c>
      <c r="G4" s="3" t="s">
        <v>53</v>
      </c>
      <c r="H4" s="3" t="s">
        <v>54</v>
      </c>
      <c r="I4" s="5">
        <v>3</v>
      </c>
      <c r="J4" s="5" t="s">
        <v>55</v>
      </c>
      <c r="K4" s="5" t="s">
        <v>55</v>
      </c>
      <c r="L4" s="5">
        <v>500</v>
      </c>
      <c r="M4" s="5">
        <v>2000</v>
      </c>
      <c r="N4" s="5">
        <v>5</v>
      </c>
      <c r="O4" s="5">
        <v>1</v>
      </c>
      <c r="P4" s="3" t="s">
        <v>56</v>
      </c>
      <c r="Q4" s="3" t="s">
        <v>55</v>
      </c>
      <c r="R4" s="3" t="s">
        <v>56</v>
      </c>
      <c r="S4" s="3" t="s">
        <v>55</v>
      </c>
      <c r="T4" s="3" t="s">
        <v>56</v>
      </c>
      <c r="U4" s="3" t="s">
        <v>55</v>
      </c>
      <c r="V4">
        <v>3</v>
      </c>
      <c r="W4">
        <v>2</v>
      </c>
      <c r="X4">
        <v>5</v>
      </c>
      <c r="Y4">
        <v>2</v>
      </c>
      <c r="Z4">
        <v>3</v>
      </c>
      <c r="AA4">
        <v>3</v>
      </c>
      <c r="AB4">
        <v>3</v>
      </c>
      <c r="AC4">
        <v>3</v>
      </c>
      <c r="AD4">
        <v>2</v>
      </c>
      <c r="AE4">
        <v>2</v>
      </c>
      <c r="AF4">
        <v>3</v>
      </c>
      <c r="AG4">
        <v>4</v>
      </c>
      <c r="AH4">
        <v>3</v>
      </c>
      <c r="AI4">
        <v>2</v>
      </c>
      <c r="AJ4">
        <v>2</v>
      </c>
      <c r="AK4">
        <v>2</v>
      </c>
      <c r="AL4">
        <v>2</v>
      </c>
      <c r="AM4">
        <v>2</v>
      </c>
      <c r="AN4">
        <v>3</v>
      </c>
      <c r="AO4">
        <v>3</v>
      </c>
      <c r="AP4">
        <v>3</v>
      </c>
      <c r="AQ4">
        <v>2</v>
      </c>
      <c r="AR4">
        <v>3</v>
      </c>
      <c r="AS4">
        <v>2</v>
      </c>
      <c r="AT4">
        <v>3</v>
      </c>
      <c r="AU4">
        <v>2</v>
      </c>
      <c r="AV4">
        <v>2</v>
      </c>
      <c r="AW4">
        <v>3</v>
      </c>
      <c r="AX4">
        <v>3</v>
      </c>
      <c r="AY4" s="3" t="s">
        <v>63</v>
      </c>
    </row>
    <row r="5" spans="1:51" ht="30" x14ac:dyDescent="0.25">
      <c r="A5" s="2" t="d">
        <v>2025-06-04T11:13:03.99999991524964725</v>
      </c>
      <c r="B5" s="2" t="d">
        <v>2025-06-04T13:27:27.00000006705522675</v>
      </c>
      <c r="C5" s="2" t="d">
        <v>2025-06-04T13:27:27.46100013144314400</v>
      </c>
      <c r="D5" s="3" t="s">
        <v>64</v>
      </c>
      <c r="E5" s="4">
        <v>50</v>
      </c>
      <c r="F5" s="3" t="s">
        <v>52</v>
      </c>
      <c r="G5" s="3" t="s">
        <v>53</v>
      </c>
      <c r="H5" s="3" t="s">
        <v>61</v>
      </c>
      <c r="I5" s="5" t="s">
        <v>55</v>
      </c>
      <c r="J5" s="5" t="s">
        <v>55</v>
      </c>
      <c r="K5" s="5">
        <v>20</v>
      </c>
      <c r="L5" s="5">
        <v>500</v>
      </c>
      <c r="M5" s="5">
        <v>20000</v>
      </c>
      <c r="N5" s="5">
        <v>1000</v>
      </c>
      <c r="O5" s="5">
        <v>20</v>
      </c>
      <c r="P5" s="3" t="s">
        <v>56</v>
      </c>
      <c r="Q5" s="3" t="s">
        <v>57</v>
      </c>
      <c r="R5" s="3" t="s">
        <v>56</v>
      </c>
      <c r="S5" s="3" t="s">
        <v>57</v>
      </c>
      <c r="T5" s="3" t="s">
        <v>56</v>
      </c>
      <c r="U5" s="3" t="s">
        <v>55</v>
      </c>
      <c r="V5">
        <v>3</v>
      </c>
      <c r="W5">
        <v>2</v>
      </c>
      <c r="X5">
        <v>3</v>
      </c>
      <c r="Y5">
        <v>3</v>
      </c>
      <c r="Z5">
        <v>2</v>
      </c>
      <c r="AA5">
        <v>3</v>
      </c>
      <c r="AB5">
        <v>3</v>
      </c>
      <c r="AC5">
        <v>3</v>
      </c>
      <c r="AD5">
        <v>2</v>
      </c>
      <c r="AE5">
        <v>2</v>
      </c>
      <c r="AF5">
        <v>3</v>
      </c>
      <c r="AG5">
        <v>2</v>
      </c>
      <c r="AH5">
        <v>3</v>
      </c>
      <c r="AI5">
        <v>3</v>
      </c>
      <c r="AJ5">
        <v>3</v>
      </c>
      <c r="AK5">
        <v>2</v>
      </c>
      <c r="AL5">
        <v>2</v>
      </c>
      <c r="AM5">
        <v>2</v>
      </c>
      <c r="AN5">
        <v>2</v>
      </c>
      <c r="AO5">
        <v>3</v>
      </c>
      <c r="AP5">
        <v>3</v>
      </c>
      <c r="AQ5">
        <v>3</v>
      </c>
      <c r="AR5">
        <v>3</v>
      </c>
      <c r="AS5">
        <v>3</v>
      </c>
      <c r="AT5">
        <v>2</v>
      </c>
      <c r="AU5">
        <v>3</v>
      </c>
      <c r="AV5">
        <v>3</v>
      </c>
      <c r="AW5">
        <v>2</v>
      </c>
      <c r="AX5">
        <v>4</v>
      </c>
      <c r="AY5" s="3" t="s">
        <v>65</v>
      </c>
    </row>
    <row r="6" spans="1:51" ht="45" x14ac:dyDescent="0.25">
      <c r="A6" s="2" t="d">
        <v>2025-06-04T13:48:26.00000016856938450</v>
      </c>
      <c r="B6" s="2" t="d">
        <v>2025-06-04T14:25:22.99999978858977525</v>
      </c>
      <c r="C6" s="2" t="d">
        <v>2025-06-04T14:25:24.26600013859569900</v>
      </c>
      <c r="D6" s="3" t="s">
        <v>66</v>
      </c>
      <c r="E6" s="4">
        <v>45</v>
      </c>
      <c r="F6" s="3" t="s">
        <v>52</v>
      </c>
      <c r="G6" s="3" t="s">
        <v>53</v>
      </c>
      <c r="H6" s="3" t="s">
        <v>61</v>
      </c>
      <c r="I6" s="5" t="s">
        <v>55</v>
      </c>
      <c r="J6" s="5" t="s">
        <v>55</v>
      </c>
      <c r="K6" s="5">
        <v>11</v>
      </c>
      <c r="L6" s="5">
        <v>600</v>
      </c>
      <c r="M6" s="5">
        <v>14000</v>
      </c>
      <c r="N6" s="5">
        <v>100</v>
      </c>
      <c r="O6" s="5">
        <v>0</v>
      </c>
      <c r="P6" s="3" t="s">
        <v>56</v>
      </c>
      <c r="Q6" s="3" t="s">
        <v>55</v>
      </c>
      <c r="R6" s="3" t="s">
        <v>58</v>
      </c>
      <c r="S6" s="3" t="s">
        <v>57</v>
      </c>
      <c r="T6" s="3" t="s">
        <v>56</v>
      </c>
      <c r="U6" s="3" t="s">
        <v>55</v>
      </c>
      <c r="V6">
        <v>3</v>
      </c>
      <c r="W6">
        <v>3</v>
      </c>
      <c r="X6">
        <v>3</v>
      </c>
      <c r="Y6">
        <v>2</v>
      </c>
      <c r="Z6">
        <v>2</v>
      </c>
      <c r="AA6">
        <v>1</v>
      </c>
      <c r="AB6">
        <v>1</v>
      </c>
      <c r="AC6">
        <v>1</v>
      </c>
      <c r="AD6">
        <v>1</v>
      </c>
      <c r="AE6">
        <v>2</v>
      </c>
      <c r="AF6">
        <v>1</v>
      </c>
      <c r="AG6">
        <v>1</v>
      </c>
      <c r="AH6">
        <v>1</v>
      </c>
      <c r="AI6">
        <v>2</v>
      </c>
      <c r="AJ6">
        <v>1</v>
      </c>
      <c r="AK6">
        <v>1</v>
      </c>
      <c r="AL6">
        <v>1</v>
      </c>
      <c r="AM6">
        <v>1</v>
      </c>
      <c r="AN6">
        <v>1</v>
      </c>
      <c r="AO6">
        <v>1</v>
      </c>
      <c r="AP6">
        <v>3</v>
      </c>
      <c r="AQ6">
        <v>2</v>
      </c>
      <c r="AR6">
        <v>2</v>
      </c>
      <c r="AS6">
        <v>1</v>
      </c>
      <c r="AT6">
        <v>1</v>
      </c>
      <c r="AU6">
        <v>4</v>
      </c>
      <c r="AV6">
        <v>4</v>
      </c>
      <c r="AW6">
        <v>4</v>
      </c>
      <c r="AX6">
        <v>4</v>
      </c>
      <c r="AY6" s="3" t="s">
        <v>67</v>
      </c>
    </row>
    <row r="7" spans="1:51" x14ac:dyDescent="0.25">
      <c r="A7" s="2" t="d">
        <v>2025-06-05T07:58:04.00000012479722325</v>
      </c>
      <c r="B7" s="2" t="d">
        <v>2025-06-05T08:40:28.99999972432851825</v>
      </c>
      <c r="C7" s="2" t="d">
        <v>2025-06-05T08:40:29.60600000806152975</v>
      </c>
      <c r="D7" s="3" t="s">
        <v>68</v>
      </c>
      <c r="E7" s="4">
        <v>41</v>
      </c>
      <c r="F7" s="3" t="s">
        <v>52</v>
      </c>
      <c r="G7" s="3" t="s">
        <v>53</v>
      </c>
      <c r="H7" s="3" t="s">
        <v>69</v>
      </c>
      <c r="I7" s="5" t="s">
        <v>55</v>
      </c>
      <c r="J7" s="5" t="s">
        <v>55</v>
      </c>
      <c r="K7" s="5">
        <v>3</v>
      </c>
      <c r="L7" s="5">
        <v>500</v>
      </c>
      <c r="M7" s="5">
        <v>4000</v>
      </c>
      <c r="N7" s="5">
        <v>50</v>
      </c>
      <c r="O7" s="5">
        <v>0</v>
      </c>
      <c r="P7" s="3" t="s">
        <v>56</v>
      </c>
      <c r="Q7" s="3" t="s">
        <v>57</v>
      </c>
      <c r="R7" s="3" t="s">
        <v>56</v>
      </c>
      <c r="S7" s="3" t="s">
        <v>55</v>
      </c>
      <c r="T7" s="3" t="s">
        <v>56</v>
      </c>
      <c r="U7" s="3" t="s">
        <v>55</v>
      </c>
      <c r="V7">
        <v>3</v>
      </c>
      <c r="W7">
        <v>2</v>
      </c>
      <c r="X7">
        <v>2</v>
      </c>
      <c r="Y7">
        <v>2</v>
      </c>
      <c r="Z7">
        <v>2</v>
      </c>
      <c r="AA7">
        <v>2</v>
      </c>
      <c r="AB7">
        <v>2</v>
      </c>
      <c r="AC7">
        <v>2</v>
      </c>
      <c r="AD7">
        <v>3</v>
      </c>
      <c r="AE7">
        <v>2</v>
      </c>
      <c r="AF7">
        <v>3</v>
      </c>
      <c r="AG7">
        <v>2</v>
      </c>
      <c r="AH7">
        <v>2</v>
      </c>
      <c r="AI7">
        <v>2</v>
      </c>
      <c r="AJ7">
        <v>3</v>
      </c>
      <c r="AK7">
        <v>2</v>
      </c>
      <c r="AL7">
        <v>2</v>
      </c>
      <c r="AM7">
        <v>2</v>
      </c>
      <c r="AN7">
        <v>2</v>
      </c>
      <c r="AO7">
        <v>2</v>
      </c>
      <c r="AP7">
        <v>2</v>
      </c>
      <c r="AQ7">
        <v>2</v>
      </c>
      <c r="AR7">
        <v>3</v>
      </c>
      <c r="AS7">
        <v>3</v>
      </c>
      <c r="AT7">
        <v>2</v>
      </c>
      <c r="AU7">
        <v>4</v>
      </c>
      <c r="AV7">
        <v>3</v>
      </c>
      <c r="AW7">
        <v>2</v>
      </c>
      <c r="AX7">
        <v>3</v>
      </c>
      <c r="AY7" s="3" t="s">
        <v>55</v>
      </c>
    </row>
    <row r="8" spans="1:51" ht="90" x14ac:dyDescent="0.25">
      <c r="A8" s="2" t="d">
        <v>2025-06-05T14:50:44.99999976251274675</v>
      </c>
      <c r="B8" s="2" t="d">
        <v>2025-06-05T15:29:44.00000024121254400</v>
      </c>
      <c r="C8" s="2" t="d">
        <v>2025-06-05T15:29:45.1790002081543200</v>
      </c>
      <c r="D8" s="3" t="s">
        <v>70</v>
      </c>
      <c r="E8" s="4">
        <v>34</v>
      </c>
      <c r="F8" s="3" t="s">
        <v>71</v>
      </c>
      <c r="G8" s="3" t="s">
        <v>53</v>
      </c>
      <c r="H8" s="3" t="s">
        <v>69</v>
      </c>
      <c r="I8" s="5" t="s">
        <v>55</v>
      </c>
      <c r="J8" s="5" t="s">
        <v>55</v>
      </c>
      <c r="K8" s="5">
        <v>1</v>
      </c>
      <c r="L8" s="5">
        <v>500</v>
      </c>
      <c r="M8" s="5">
        <v>3500</v>
      </c>
      <c r="N8" s="5">
        <v>50</v>
      </c>
      <c r="O8" s="5">
        <v>0</v>
      </c>
      <c r="P8" s="3" t="s">
        <v>56</v>
      </c>
      <c r="Q8" s="3" t="s">
        <v>55</v>
      </c>
      <c r="R8" s="3" t="s">
        <v>56</v>
      </c>
      <c r="S8" s="3" t="s">
        <v>55</v>
      </c>
      <c r="T8" s="3" t="s">
        <v>56</v>
      </c>
      <c r="U8" s="3" t="s">
        <v>55</v>
      </c>
      <c r="V8">
        <v>2</v>
      </c>
      <c r="W8">
        <v>2</v>
      </c>
      <c r="X8">
        <v>1</v>
      </c>
      <c r="Y8">
        <v>1</v>
      </c>
      <c r="Z8">
        <v>1</v>
      </c>
      <c r="AA8">
        <v>2</v>
      </c>
      <c r="AB8">
        <v>2</v>
      </c>
      <c r="AC8">
        <v>2</v>
      </c>
      <c r="AD8">
        <v>2</v>
      </c>
      <c r="AE8">
        <v>2</v>
      </c>
      <c r="AF8">
        <v>2</v>
      </c>
      <c r="AG8">
        <v>1</v>
      </c>
      <c r="AH8">
        <v>2</v>
      </c>
      <c r="AI8">
        <v>1</v>
      </c>
      <c r="AJ8">
        <v>1</v>
      </c>
      <c r="AK8">
        <v>3</v>
      </c>
      <c r="AL8">
        <v>2</v>
      </c>
      <c r="AM8">
        <v>2</v>
      </c>
      <c r="AN8">
        <v>2</v>
      </c>
      <c r="AO8">
        <v>2</v>
      </c>
      <c r="AP8">
        <v>1</v>
      </c>
      <c r="AQ8">
        <v>1</v>
      </c>
      <c r="AR8">
        <v>1</v>
      </c>
      <c r="AS8">
        <v>1</v>
      </c>
      <c r="AT8">
        <v>2</v>
      </c>
      <c r="AU8">
        <v>2</v>
      </c>
      <c r="AV8">
        <v>1</v>
      </c>
      <c r="AW8">
        <v>1</v>
      </c>
      <c r="AX8">
        <v>1</v>
      </c>
      <c r="AY8" s="3" t="s">
        <v>72</v>
      </c>
    </row>
    <row r="9" spans="1:51" ht="30" x14ac:dyDescent="0.25">
      <c r="A9" s="2" t="d">
        <v>2025-06-05T15:38:42.00000027660280275</v>
      </c>
      <c r="B9" s="2" t="d">
        <v>2025-06-05T15:56:56.999999759718775650</v>
      </c>
      <c r="C9" s="2" t="d">
        <v>2025-06-05T15:56:58.388999719172715825</v>
      </c>
      <c r="D9" s="3" t="s">
        <v>73</v>
      </c>
      <c r="E9" s="4">
        <v>41</v>
      </c>
      <c r="F9" s="3" t="s">
        <v>52</v>
      </c>
      <c r="G9" s="3" t="s">
        <v>53</v>
      </c>
      <c r="H9" s="3" t="s">
        <v>61</v>
      </c>
      <c r="I9" s="5" t="s">
        <v>55</v>
      </c>
      <c r="J9" s="5" t="s">
        <v>55</v>
      </c>
      <c r="K9" s="5">
        <v>8</v>
      </c>
      <c r="L9" s="5">
        <v>600</v>
      </c>
      <c r="M9" s="5">
        <v>10000</v>
      </c>
      <c r="N9" s="5">
        <v>150</v>
      </c>
      <c r="O9" s="5">
        <v>15</v>
      </c>
      <c r="P9" s="3" t="s">
        <v>56</v>
      </c>
      <c r="Q9" s="3" t="s">
        <v>55</v>
      </c>
      <c r="R9" s="3" t="s">
        <v>58</v>
      </c>
      <c r="S9" s="3" t="s">
        <v>57</v>
      </c>
      <c r="T9" s="3" t="s">
        <v>56</v>
      </c>
      <c r="U9" s="3" t="s">
        <v>55</v>
      </c>
      <c r="V9">
        <v>4</v>
      </c>
      <c r="W9">
        <v>3</v>
      </c>
      <c r="X9">
        <v>4</v>
      </c>
      <c r="Y9">
        <v>3</v>
      </c>
      <c r="Z9">
        <v>3</v>
      </c>
      <c r="AA9">
        <v>3</v>
      </c>
      <c r="AB9">
        <v>3</v>
      </c>
      <c r="AC9">
        <v>2</v>
      </c>
      <c r="AD9">
        <v>4</v>
      </c>
      <c r="AE9">
        <v>3</v>
      </c>
      <c r="AF9">
        <v>3</v>
      </c>
      <c r="AG9">
        <v>3</v>
      </c>
      <c r="AH9">
        <v>2</v>
      </c>
      <c r="AI9">
        <v>2</v>
      </c>
      <c r="AJ9">
        <v>3</v>
      </c>
      <c r="AK9">
        <v>4</v>
      </c>
      <c r="AL9">
        <v>4</v>
      </c>
      <c r="AM9">
        <v>3</v>
      </c>
      <c r="AN9">
        <v>4</v>
      </c>
      <c r="AO9">
        <v>3</v>
      </c>
      <c r="AP9">
        <v>4</v>
      </c>
      <c r="AQ9">
        <v>3</v>
      </c>
      <c r="AR9">
        <v>4</v>
      </c>
      <c r="AS9">
        <v>3</v>
      </c>
      <c r="AT9">
        <v>3</v>
      </c>
      <c r="AU9">
        <v>5</v>
      </c>
      <c r="AV9">
        <v>5</v>
      </c>
      <c r="AW9">
        <v>5</v>
      </c>
      <c r="AX9">
        <v>5</v>
      </c>
      <c r="AY9" s="3" t="s">
        <v>74</v>
      </c>
    </row>
    <row r="10" spans="1:51" ht="45" x14ac:dyDescent="0.25">
      <c r="A10" s="2" t="d">
        <v>2025-06-05T15:57:13.999999961815774200</v>
      </c>
      <c r="B10" s="2" t="d">
        <v>2025-06-05T16:29:40.99999995902180850</v>
      </c>
      <c r="C10" s="2" t="d">
        <v>2025-06-05T16:29:41.93599996156990200</v>
      </c>
      <c r="D10" s="3" t="s">
        <v>75</v>
      </c>
      <c r="E10" s="4">
        <v>36</v>
      </c>
      <c r="F10" s="3" t="s">
        <v>52</v>
      </c>
      <c r="G10" s="3" t="s">
        <v>53</v>
      </c>
      <c r="H10" s="3" t="s">
        <v>76</v>
      </c>
      <c r="I10" s="5" t="s">
        <v>55</v>
      </c>
      <c r="J10" s="5" t="s">
        <v>55</v>
      </c>
      <c r="K10" s="5">
        <v>2</v>
      </c>
      <c r="L10" s="5">
        <v>500</v>
      </c>
      <c r="M10" s="5">
        <v>5000</v>
      </c>
      <c r="N10" s="5">
        <v>25</v>
      </c>
      <c r="O10" s="5">
        <v>0</v>
      </c>
      <c r="P10" s="3" t="s">
        <v>56</v>
      </c>
      <c r="Q10" s="3" t="s">
        <v>57</v>
      </c>
      <c r="R10" s="3" t="s">
        <v>58</v>
      </c>
      <c r="S10" s="3" t="s">
        <v>57</v>
      </c>
      <c r="T10" s="3" t="s">
        <v>58</v>
      </c>
      <c r="U10" s="3" t="s">
        <v>77</v>
      </c>
      <c r="V10">
        <v>4</v>
      </c>
      <c r="W10">
        <v>4</v>
      </c>
      <c r="X10">
        <v>4</v>
      </c>
      <c r="Y10">
        <v>3</v>
      </c>
      <c r="Z10">
        <v>2</v>
      </c>
      <c r="AA10">
        <v>4</v>
      </c>
      <c r="AB10">
        <v>2</v>
      </c>
      <c r="AC10">
        <v>3</v>
      </c>
      <c r="AD10">
        <v>3</v>
      </c>
      <c r="AE10">
        <v>3</v>
      </c>
      <c r="AF10">
        <v>1</v>
      </c>
      <c r="AG10">
        <v>3</v>
      </c>
      <c r="AH10">
        <v>3</v>
      </c>
      <c r="AI10">
        <v>2</v>
      </c>
      <c r="AJ10">
        <v>2</v>
      </c>
      <c r="AK10">
        <v>4</v>
      </c>
      <c r="AL10">
        <v>4</v>
      </c>
      <c r="AM10">
        <v>2</v>
      </c>
      <c r="AN10">
        <v>2</v>
      </c>
      <c r="AO10">
        <v>3</v>
      </c>
      <c r="AP10">
        <v>3</v>
      </c>
      <c r="AQ10">
        <v>2</v>
      </c>
      <c r="AR10">
        <v>3</v>
      </c>
      <c r="AS10">
        <v>3</v>
      </c>
      <c r="AT10">
        <v>2</v>
      </c>
      <c r="AU10">
        <v>2</v>
      </c>
      <c r="AV10">
        <v>4</v>
      </c>
      <c r="AW10">
        <v>4</v>
      </c>
      <c r="AX10">
        <v>4</v>
      </c>
      <c r="AY10" s="3" t="s">
        <v>78</v>
      </c>
    </row>
    <row r="11" spans="1:51" x14ac:dyDescent="0.25">
      <c r="A11" s="2" t="d">
        <v>2025-06-06T09:53:35.99999992176890100</v>
      </c>
      <c r="B11" s="2" t="d">
        <v>2025-06-06T10:24:54.99999973922968125</v>
      </c>
      <c r="C11" s="2" t="d">
        <v>2025-06-06T10:24:56.10999987926334225</v>
      </c>
      <c r="D11" s="3" t="s">
        <v>79</v>
      </c>
      <c r="E11" s="4">
        <v>62</v>
      </c>
      <c r="F11" s="3" t="s">
        <v>52</v>
      </c>
      <c r="G11" s="3" t="s">
        <v>80</v>
      </c>
      <c r="H11" s="3" t="s">
        <v>61</v>
      </c>
      <c r="I11" s="5" t="s">
        <v>55</v>
      </c>
      <c r="J11" s="5" t="s">
        <v>55</v>
      </c>
      <c r="K11" s="5">
        <v>29</v>
      </c>
      <c r="L11" s="5">
        <v>350</v>
      </c>
      <c r="M11" s="5">
        <v>20000</v>
      </c>
      <c r="N11" s="5">
        <v>0</v>
      </c>
      <c r="O11" s="5">
        <v>0</v>
      </c>
      <c r="P11" s="3" t="s">
        <v>56</v>
      </c>
      <c r="Q11" s="3" t="s">
        <v>55</v>
      </c>
      <c r="R11" s="3" t="s">
        <v>56</v>
      </c>
      <c r="S11" s="3" t="s">
        <v>55</v>
      </c>
      <c r="T11" s="3" t="s">
        <v>56</v>
      </c>
      <c r="U11" s="3" t="s">
        <v>55</v>
      </c>
      <c r="V11">
        <v>5</v>
      </c>
      <c r="W11">
        <v>5</v>
      </c>
      <c r="X11">
        <v>5</v>
      </c>
      <c r="Y11">
        <v>4</v>
      </c>
      <c r="Z11">
        <v>3</v>
      </c>
      <c r="AA11">
        <v>4</v>
      </c>
      <c r="AB11">
        <v>3</v>
      </c>
      <c r="AC11">
        <v>5</v>
      </c>
      <c r="AD11">
        <v>5</v>
      </c>
      <c r="AE11">
        <v>4</v>
      </c>
      <c r="AF11">
        <v>4</v>
      </c>
      <c r="AG11">
        <v>5</v>
      </c>
      <c r="AH11">
        <v>5</v>
      </c>
      <c r="AI11">
        <v>5</v>
      </c>
      <c r="AJ11">
        <v>5</v>
      </c>
      <c r="AK11">
        <v>5</v>
      </c>
      <c r="AL11">
        <v>5</v>
      </c>
      <c r="AM11">
        <v>4</v>
      </c>
      <c r="AN11">
        <v>5</v>
      </c>
      <c r="AO11">
        <v>4</v>
      </c>
      <c r="AP11">
        <v>3</v>
      </c>
      <c r="AQ11">
        <v>5</v>
      </c>
      <c r="AR11">
        <v>4</v>
      </c>
      <c r="AS11">
        <v>4</v>
      </c>
      <c r="AT11">
        <v>4</v>
      </c>
      <c r="AU11">
        <v>4</v>
      </c>
      <c r="AV11">
        <v>4</v>
      </c>
      <c r="AW11">
        <v>5</v>
      </c>
      <c r="AX11">
        <v>5</v>
      </c>
      <c r="AY11" s="3" t="s">
        <v>81</v>
      </c>
    </row>
    <row r="12" spans="1:51" x14ac:dyDescent="0.25">
      <c r="A12" s="2" t="d">
        <v>2025-06-06T12:00:44.99999983236193650</v>
      </c>
      <c r="B12" s="2" t="d">
        <v>2025-06-06T12:51:15.0000002793967725</v>
      </c>
      <c r="C12" s="2" t="d">
        <v>2025-06-06T12:51:16.04099996387958375</v>
      </c>
      <c r="D12" s="3" t="s">
        <v>82</v>
      </c>
      <c r="E12" s="4">
        <v>70</v>
      </c>
      <c r="F12" s="3" t="s">
        <v>52</v>
      </c>
      <c r="G12" s="3" t="s">
        <v>53</v>
      </c>
      <c r="H12" s="3" t="s">
        <v>61</v>
      </c>
      <c r="I12" s="5" t="s">
        <v>55</v>
      </c>
      <c r="J12" s="5" t="s">
        <v>55</v>
      </c>
      <c r="K12" s="5">
        <v>39</v>
      </c>
      <c r="L12" s="5">
        <v>400</v>
      </c>
      <c r="M12" s="5">
        <v>30000</v>
      </c>
      <c r="N12" s="5">
        <v>0</v>
      </c>
      <c r="O12" s="5">
        <v>0</v>
      </c>
      <c r="P12" s="3" t="s">
        <v>56</v>
      </c>
      <c r="Q12" s="3" t="s">
        <v>57</v>
      </c>
      <c r="R12" s="3" t="s">
        <v>56</v>
      </c>
      <c r="S12" s="3" t="s">
        <v>55</v>
      </c>
      <c r="T12" s="3" t="s">
        <v>56</v>
      </c>
      <c r="U12" s="3" t="s">
        <v>55</v>
      </c>
      <c r="V12">
        <v>4</v>
      </c>
      <c r="W12">
        <v>5</v>
      </c>
      <c r="X12">
        <v>4</v>
      </c>
      <c r="Y12">
        <v>4</v>
      </c>
      <c r="Z12">
        <v>5</v>
      </c>
      <c r="AA12">
        <v>4</v>
      </c>
      <c r="AB12">
        <v>4</v>
      </c>
      <c r="AC12">
        <v>5</v>
      </c>
      <c r="AD12">
        <v>4</v>
      </c>
      <c r="AE12">
        <v>4</v>
      </c>
      <c r="AF12">
        <v>5</v>
      </c>
      <c r="AG12">
        <v>3</v>
      </c>
      <c r="AH12">
        <v>5</v>
      </c>
      <c r="AI12">
        <v>4</v>
      </c>
      <c r="AJ12">
        <v>5</v>
      </c>
      <c r="AK12">
        <v>3</v>
      </c>
      <c r="AL12">
        <v>3</v>
      </c>
      <c r="AM12">
        <v>4</v>
      </c>
      <c r="AN12">
        <v>3</v>
      </c>
      <c r="AO12">
        <v>4</v>
      </c>
      <c r="AP12">
        <v>2</v>
      </c>
      <c r="AQ12">
        <v>4</v>
      </c>
      <c r="AR12">
        <v>5</v>
      </c>
      <c r="AS12">
        <v>4</v>
      </c>
      <c r="AT12">
        <v>5</v>
      </c>
      <c r="AU12">
        <v>5</v>
      </c>
      <c r="AV12">
        <v>4</v>
      </c>
      <c r="AW12">
        <v>4</v>
      </c>
      <c r="AX12">
        <v>5</v>
      </c>
      <c r="AY12" s="3" t="s">
        <v>55</v>
      </c>
    </row>
    <row r="13" spans="1:51" ht="30" x14ac:dyDescent="0.25">
      <c r="A13" s="2" t="d">
        <v>2025-06-06T12:51:39.99999983701854825</v>
      </c>
      <c r="B13" s="2" t="d">
        <v>2025-06-06T13:13:32.99999998882412775</v>
      </c>
      <c r="C13" s="2" t="d">
        <v>2025-06-06T13:13:33.71300029568374050</v>
      </c>
      <c r="D13" s="3" t="s">
        <v>83</v>
      </c>
      <c r="E13" s="4">
        <v>30</v>
      </c>
      <c r="F13" s="3" t="s">
        <v>71</v>
      </c>
      <c r="G13" s="3" t="s">
        <v>53</v>
      </c>
      <c r="H13" s="3" t="s">
        <v>61</v>
      </c>
      <c r="I13" s="5">
        <v>1</v>
      </c>
      <c r="J13" s="5" t="s">
        <v>55</v>
      </c>
      <c r="K13" s="5" t="s">
        <v>55</v>
      </c>
      <c r="L13" s="5">
        <v>0</v>
      </c>
      <c r="M13" s="5">
        <v>0</v>
      </c>
      <c r="N13" s="5">
        <v>0</v>
      </c>
      <c r="O13" s="5">
        <v>0</v>
      </c>
      <c r="P13" s="3" t="s">
        <v>58</v>
      </c>
      <c r="Q13" s="3" t="s">
        <v>84</v>
      </c>
      <c r="R13" s="3" t="s">
        <v>56</v>
      </c>
      <c r="S13" s="3" t="s">
        <v>57</v>
      </c>
      <c r="T13" s="3" t="s">
        <v>56</v>
      </c>
      <c r="U13" s="3" t="s">
        <v>55</v>
      </c>
      <c r="V13">
        <v>4</v>
      </c>
      <c r="W13">
        <v>4</v>
      </c>
      <c r="X13">
        <v>4</v>
      </c>
      <c r="Y13">
        <v>3</v>
      </c>
      <c r="Z13">
        <v>4</v>
      </c>
      <c r="AA13">
        <v>4</v>
      </c>
      <c r="AB13">
        <v>4</v>
      </c>
      <c r="AC13">
        <v>5</v>
      </c>
      <c r="AD13">
        <v>5</v>
      </c>
      <c r="AE13">
        <v>4</v>
      </c>
      <c r="AF13">
        <v>5</v>
      </c>
      <c r="AG13">
        <v>5</v>
      </c>
      <c r="AH13">
        <v>5</v>
      </c>
      <c r="AI13">
        <v>5</v>
      </c>
      <c r="AJ13">
        <v>3</v>
      </c>
      <c r="AK13">
        <v>4</v>
      </c>
      <c r="AL13">
        <v>5</v>
      </c>
      <c r="AM13">
        <v>4</v>
      </c>
      <c r="AN13">
        <v>4</v>
      </c>
      <c r="AO13">
        <v>5</v>
      </c>
      <c r="AP13">
        <v>4</v>
      </c>
      <c r="AQ13">
        <v>4</v>
      </c>
      <c r="AR13">
        <v>5</v>
      </c>
      <c r="AS13">
        <v>5</v>
      </c>
      <c r="AT13">
        <v>5</v>
      </c>
      <c r="AU13">
        <v>5</v>
      </c>
      <c r="AV13">
        <v>4</v>
      </c>
      <c r="AW13">
        <v>4</v>
      </c>
      <c r="AX13">
        <v>5</v>
      </c>
      <c r="AY13" s="3" t="s">
        <v>55</v>
      </c>
    </row>
    <row r="14" spans="1:51" ht="60" x14ac:dyDescent="0.25">
      <c r="A14" s="2" t="d">
        <v>2025-06-06T14:13:19.99999988358467925</v>
      </c>
      <c r="B14" s="2" t="d">
        <v>2025-06-06T14:53:44.00000011548399975</v>
      </c>
      <c r="C14" s="2" t="d">
        <v>2025-06-06T14:53:45.63600009307265400</v>
      </c>
      <c r="D14" s="3" t="s">
        <v>85</v>
      </c>
      <c r="E14" s="4">
        <v>37</v>
      </c>
      <c r="F14" s="3" t="s">
        <v>52</v>
      </c>
      <c r="G14" s="3" t="s">
        <v>80</v>
      </c>
      <c r="H14" s="3" t="s">
        <v>86</v>
      </c>
      <c r="I14" s="5" t="s">
        <v>55</v>
      </c>
      <c r="J14" s="5" t="s">
        <v>55</v>
      </c>
      <c r="K14" s="5">
        <v>1.5</v>
      </c>
      <c r="L14" s="5">
        <v>550</v>
      </c>
      <c r="M14" s="5">
        <v>3000</v>
      </c>
      <c r="N14" s="5">
        <v>20</v>
      </c>
      <c r="O14" s="5">
        <v>0</v>
      </c>
      <c r="P14" s="3" t="s">
        <v>58</v>
      </c>
      <c r="Q14" s="3" t="s">
        <v>87</v>
      </c>
      <c r="R14" s="3" t="s">
        <v>56</v>
      </c>
      <c r="S14" s="3" t="s">
        <v>55</v>
      </c>
      <c r="T14" s="3" t="s">
        <v>56</v>
      </c>
      <c r="U14" s="3" t="s">
        <v>55</v>
      </c>
      <c r="V14">
        <v>5</v>
      </c>
      <c r="W14">
        <v>4</v>
      </c>
      <c r="X14">
        <v>3</v>
      </c>
      <c r="Y14">
        <v>4</v>
      </c>
      <c r="Z14">
        <v>3</v>
      </c>
      <c r="AA14">
        <v>4</v>
      </c>
      <c r="AB14">
        <v>3</v>
      </c>
      <c r="AC14">
        <v>4</v>
      </c>
      <c r="AD14">
        <v>4</v>
      </c>
      <c r="AE14">
        <v>3</v>
      </c>
      <c r="AF14">
        <v>4</v>
      </c>
      <c r="AG14">
        <v>4</v>
      </c>
      <c r="AH14">
        <v>3</v>
      </c>
      <c r="AI14">
        <v>3</v>
      </c>
      <c r="AJ14">
        <v>5</v>
      </c>
      <c r="AK14">
        <v>5</v>
      </c>
      <c r="AL14">
        <v>4</v>
      </c>
      <c r="AM14">
        <v>4</v>
      </c>
      <c r="AN14">
        <v>3</v>
      </c>
      <c r="AO14">
        <v>5</v>
      </c>
      <c r="AP14">
        <v>5</v>
      </c>
      <c r="AQ14">
        <v>4</v>
      </c>
      <c r="AR14">
        <v>3</v>
      </c>
      <c r="AS14">
        <v>4</v>
      </c>
      <c r="AT14">
        <v>3</v>
      </c>
      <c r="AU14">
        <v>4</v>
      </c>
      <c r="AV14">
        <v>3</v>
      </c>
      <c r="AW14">
        <v>4</v>
      </c>
      <c r="AX14">
        <v>4</v>
      </c>
      <c r="AY14" s="3" t="s">
        <v>88</v>
      </c>
    </row>
    <row r="15" spans="1:51" ht="45" x14ac:dyDescent="0.25">
      <c r="A15" s="2" t="d">
        <v>2025-06-06T15:34:29.000000227242708075</v>
      </c>
      <c r="B15" s="2" t="d">
        <v>2025-06-06T16:01:20.00000026077031875</v>
      </c>
      <c r="C15" s="2" t="d">
        <v>2025-06-06T16:01:21.44100029021501700</v>
      </c>
      <c r="D15" s="3" t="s">
        <v>89</v>
      </c>
      <c r="E15" s="4">
        <v>35</v>
      </c>
      <c r="F15" s="3" t="s">
        <v>52</v>
      </c>
      <c r="G15" s="3" t="s">
        <v>53</v>
      </c>
      <c r="H15" s="3" t="s">
        <v>61</v>
      </c>
      <c r="I15" s="5">
        <v>2</v>
      </c>
      <c r="J15" s="5" t="s">
        <v>55</v>
      </c>
      <c r="K15" s="5" t="s">
        <v>55</v>
      </c>
      <c r="L15" s="5">
        <v>200</v>
      </c>
      <c r="M15" s="5">
        <v>800</v>
      </c>
      <c r="N15" s="5">
        <v>0</v>
      </c>
      <c r="O15" s="5">
        <v>0</v>
      </c>
      <c r="P15" s="3" t="s">
        <v>56</v>
      </c>
      <c r="Q15" s="3" t="s">
        <v>57</v>
      </c>
      <c r="R15" s="3" t="s">
        <v>56</v>
      </c>
      <c r="S15" s="3" t="s">
        <v>57</v>
      </c>
      <c r="T15" s="3" t="s">
        <v>56</v>
      </c>
      <c r="U15" s="3" t="s">
        <v>55</v>
      </c>
      <c r="V15">
        <v>4</v>
      </c>
      <c r="W15">
        <v>3</v>
      </c>
      <c r="X15">
        <v>2</v>
      </c>
      <c r="Y15">
        <v>3</v>
      </c>
      <c r="Z15">
        <v>2</v>
      </c>
      <c r="AA15">
        <v>3</v>
      </c>
      <c r="AB15">
        <v>3</v>
      </c>
      <c r="AC15">
        <v>3</v>
      </c>
      <c r="AD15">
        <v>3</v>
      </c>
      <c r="AE15">
        <v>3</v>
      </c>
      <c r="AF15">
        <v>2</v>
      </c>
      <c r="AG15">
        <v>2</v>
      </c>
      <c r="AH15">
        <v>2</v>
      </c>
      <c r="AI15">
        <v>4</v>
      </c>
      <c r="AJ15">
        <v>1</v>
      </c>
      <c r="AK15">
        <v>2</v>
      </c>
      <c r="AL15">
        <v>3</v>
      </c>
      <c r="AM15">
        <v>2</v>
      </c>
      <c r="AN15">
        <v>4</v>
      </c>
      <c r="AO15">
        <v>2</v>
      </c>
      <c r="AP15">
        <v>5</v>
      </c>
      <c r="AQ15">
        <v>5</v>
      </c>
      <c r="AR15">
        <v>3</v>
      </c>
      <c r="AS15">
        <v>3</v>
      </c>
      <c r="AT15">
        <v>2</v>
      </c>
      <c r="AU15">
        <v>4</v>
      </c>
      <c r="AV15">
        <v>4</v>
      </c>
      <c r="AW15">
        <v>4</v>
      </c>
      <c r="AX15">
        <v>5</v>
      </c>
      <c r="AY15" s="3" t="s">
        <v>90</v>
      </c>
    </row>
    <row r="16" spans="1:51" x14ac:dyDescent="0.25">
      <c r="U16" t="s">
        <v>91</v>
      </c>
      <c r="V16">
        <f>AVERAGE(V2:V15)</f>
        <v>3.5714285714285716</v>
      </c>
      <c r="W16">
        <f t="shared" ref="W16:AX16" si="0">AVERAGE(W2:W15)</f>
        <v>3.1428571428571428</v>
      </c>
      <c r="X16">
        <f t="shared" si="0"/>
        <v>3.2142857142857144</v>
      </c>
      <c r="Y16">
        <f t="shared" si="0"/>
        <v>2.7857142857142856</v>
      </c>
      <c r="Z16">
        <f t="shared" si="0"/>
        <v>2.7142857142857144</v>
      </c>
      <c r="AA16">
        <f t="shared" si="0"/>
        <v>2.9285714285714284</v>
      </c>
      <c r="AB16">
        <f t="shared" si="0"/>
        <v>2.6428571428571428</v>
      </c>
      <c r="AC16">
        <f t="shared" si="0"/>
        <v>3.1428571428571428</v>
      </c>
      <c r="AD16">
        <f t="shared" si="0"/>
        <v>3.1428571428571428</v>
      </c>
      <c r="AE16">
        <f t="shared" si="0"/>
        <v>2.7857142857142856</v>
      </c>
      <c r="AF16">
        <f t="shared" si="0"/>
        <v>2.9285714285714284</v>
      </c>
      <c r="AG16">
        <f t="shared" si="0"/>
        <v>2.7857142857142856</v>
      </c>
      <c r="AH16">
        <f t="shared" si="0"/>
        <v>2.8571428571428572</v>
      </c>
      <c r="AI16">
        <f t="shared" si="0"/>
        <v>2.7857142857142856</v>
      </c>
      <c r="AJ16">
        <f t="shared" si="0"/>
        <v>2.8571428571428572</v>
      </c>
      <c r="AK16">
        <f t="shared" si="0"/>
        <v>3</v>
      </c>
      <c r="AL16">
        <f t="shared" si="0"/>
        <v>3.0714285714285716</v>
      </c>
      <c r="AM16">
        <f t="shared" si="0"/>
        <v>2.6428571428571428</v>
      </c>
      <c r="AN16">
        <f t="shared" si="0"/>
        <v>3</v>
      </c>
      <c r="AO16">
        <f t="shared" si="0"/>
        <v>3.0714285714285716</v>
      </c>
      <c r="AP16">
        <f t="shared" si="0"/>
        <v>3.2857142857142856</v>
      </c>
      <c r="AQ16">
        <f t="shared" si="0"/>
        <v>2.9285714285714284</v>
      </c>
      <c r="AR16">
        <f t="shared" si="0"/>
        <v>3.1428571428571428</v>
      </c>
      <c r="AS16">
        <f t="shared" si="0"/>
        <v>3</v>
      </c>
      <c r="AT16">
        <f t="shared" si="0"/>
        <v>2.7857142857142856</v>
      </c>
      <c r="AU16">
        <f t="shared" si="0"/>
        <v>3.7857142857142856</v>
      </c>
      <c r="AV16">
        <f t="shared" si="0"/>
        <v>3.5714285714285716</v>
      </c>
      <c r="AW16">
        <f t="shared" si="0"/>
        <v>3.6428571428571428</v>
      </c>
      <c r="AX16">
        <f t="shared" si="0"/>
        <v>4.0714285714285712</v>
      </c>
    </row>
    <row r="17" spans="21:50" x14ac:dyDescent="0.25">
      <c r="U17" t="s">
        <v>92</v>
      </c>
      <c r="V17">
        <f>MEDIAN(V2:V15)</f>
        <v>4</v>
      </c>
      <c r="W17">
        <f t="shared" ref="W17:AX17" si="1">MEDIAN(W2:W15)</f>
        <v>3</v>
      </c>
      <c r="X17">
        <f t="shared" si="1"/>
        <v>3</v>
      </c>
      <c r="Y17">
        <f t="shared" si="1"/>
        <v>3</v>
      </c>
      <c r="Z17">
        <f t="shared" si="1"/>
        <v>3</v>
      </c>
      <c r="AA17">
        <f t="shared" si="1"/>
        <v>3</v>
      </c>
      <c r="AB17">
        <f t="shared" si="1"/>
        <v>3</v>
      </c>
      <c r="AC17">
        <f t="shared" si="1"/>
        <v>3</v>
      </c>
      <c r="AD17">
        <f t="shared" si="1"/>
        <v>3</v>
      </c>
      <c r="AE17">
        <f t="shared" si="1"/>
        <v>3</v>
      </c>
      <c r="AF17">
        <f t="shared" si="1"/>
        <v>3</v>
      </c>
      <c r="AG17">
        <f t="shared" si="1"/>
        <v>2.5</v>
      </c>
      <c r="AH17">
        <f t="shared" si="1"/>
        <v>2.5</v>
      </c>
      <c r="AI17">
        <f t="shared" si="1"/>
        <v>2</v>
      </c>
      <c r="AJ17">
        <f t="shared" si="1"/>
        <v>3</v>
      </c>
      <c r="AK17">
        <f t="shared" si="1"/>
        <v>3</v>
      </c>
      <c r="AL17">
        <f t="shared" si="1"/>
        <v>3</v>
      </c>
      <c r="AM17">
        <f t="shared" si="1"/>
        <v>2</v>
      </c>
      <c r="AN17">
        <f t="shared" si="1"/>
        <v>3</v>
      </c>
      <c r="AO17">
        <f t="shared" si="1"/>
        <v>3</v>
      </c>
      <c r="AP17">
        <f t="shared" si="1"/>
        <v>3</v>
      </c>
      <c r="AQ17">
        <f t="shared" si="1"/>
        <v>3</v>
      </c>
      <c r="AR17">
        <f t="shared" si="1"/>
        <v>3</v>
      </c>
      <c r="AS17">
        <f t="shared" si="1"/>
        <v>3</v>
      </c>
      <c r="AT17">
        <f t="shared" si="1"/>
        <v>2.5</v>
      </c>
      <c r="AU17">
        <f t="shared" si="1"/>
        <v>4</v>
      </c>
      <c r="AV17">
        <f t="shared" si="1"/>
        <v>4</v>
      </c>
      <c r="AW17">
        <f t="shared" si="1"/>
        <v>4</v>
      </c>
      <c r="AX17">
        <f t="shared" si="1"/>
        <v>4</v>
      </c>
    </row>
    <row r="18" spans="21:50" x14ac:dyDescent="0.25">
      <c r="U18" t="s">
        <v>93</v>
      </c>
      <c r="V18">
        <f>_xlfn.MODE.SNGL(V2:V15)</f>
        <v>4</v>
      </c>
      <c r="W18">
        <f t="shared" ref="W18:AX18" si="2">_xlfn.MODE.SNGL(W2:W15)</f>
        <v>2</v>
      </c>
      <c r="X18">
        <f t="shared" si="2"/>
        <v>3</v>
      </c>
      <c r="Y18">
        <f t="shared" si="2"/>
        <v>3</v>
      </c>
      <c r="Z18">
        <f t="shared" si="2"/>
        <v>3</v>
      </c>
      <c r="AA18">
        <f t="shared" si="2"/>
        <v>4</v>
      </c>
      <c r="AB18">
        <f t="shared" si="2"/>
        <v>3</v>
      </c>
      <c r="AC18">
        <f t="shared" si="2"/>
        <v>2</v>
      </c>
      <c r="AD18">
        <f t="shared" si="2"/>
        <v>3</v>
      </c>
      <c r="AE18">
        <f t="shared" si="2"/>
        <v>2</v>
      </c>
      <c r="AF18">
        <f t="shared" si="2"/>
        <v>3</v>
      </c>
      <c r="AG18">
        <f t="shared" si="2"/>
        <v>2</v>
      </c>
      <c r="AH18">
        <f t="shared" si="2"/>
        <v>2</v>
      </c>
      <c r="AI18">
        <f t="shared" si="2"/>
        <v>2</v>
      </c>
      <c r="AJ18">
        <f t="shared" si="2"/>
        <v>3</v>
      </c>
      <c r="AK18">
        <f t="shared" si="2"/>
        <v>2</v>
      </c>
      <c r="AL18">
        <f t="shared" si="2"/>
        <v>2</v>
      </c>
      <c r="AM18">
        <f t="shared" si="2"/>
        <v>2</v>
      </c>
      <c r="AN18">
        <f t="shared" si="2"/>
        <v>3</v>
      </c>
      <c r="AO18">
        <f t="shared" si="2"/>
        <v>3</v>
      </c>
      <c r="AP18">
        <f t="shared" si="2"/>
        <v>3</v>
      </c>
      <c r="AQ18">
        <f t="shared" si="2"/>
        <v>2</v>
      </c>
      <c r="AR18">
        <f t="shared" si="2"/>
        <v>3</v>
      </c>
      <c r="AS18">
        <f t="shared" si="2"/>
        <v>3</v>
      </c>
      <c r="AT18">
        <f t="shared" si="2"/>
        <v>2</v>
      </c>
      <c r="AU18">
        <f t="shared" si="2"/>
        <v>4</v>
      </c>
      <c r="AV18">
        <f t="shared" si="2"/>
        <v>4</v>
      </c>
      <c r="AW18">
        <f t="shared" si="2"/>
        <v>4</v>
      </c>
      <c r="AX18">
        <f t="shared" si="2"/>
        <v>5</v>
      </c>
    </row>
    <row r="19" spans="21:50" x14ac:dyDescent="0.25">
      <c r="U19" t="s">
        <v>94</v>
      </c>
      <c r="V19">
        <f>MIN(V2:V15)</f>
        <v>2</v>
      </c>
      <c r="W19">
        <f t="shared" ref="W19:AX19" si="3">MIN(W2:W15)</f>
        <v>2</v>
      </c>
      <c r="X19">
        <f t="shared" si="3"/>
        <v>1</v>
      </c>
      <c r="Y19">
        <f t="shared" si="3"/>
        <v>1</v>
      </c>
      <c r="Z19">
        <f t="shared" si="3"/>
        <v>1</v>
      </c>
      <c r="AA19">
        <f t="shared" si="3"/>
        <v>1</v>
      </c>
      <c r="AB19">
        <f t="shared" si="3"/>
        <v>1</v>
      </c>
      <c r="AC19">
        <f t="shared" si="3"/>
        <v>1</v>
      </c>
      <c r="AD19">
        <f t="shared" si="3"/>
        <v>1</v>
      </c>
      <c r="AE19">
        <f t="shared" si="3"/>
        <v>2</v>
      </c>
      <c r="AF19">
        <f t="shared" si="3"/>
        <v>1</v>
      </c>
      <c r="AG19">
        <f t="shared" si="3"/>
        <v>1</v>
      </c>
      <c r="AH19">
        <f t="shared" si="3"/>
        <v>1</v>
      </c>
      <c r="AI19">
        <f t="shared" si="3"/>
        <v>1</v>
      </c>
      <c r="AJ19">
        <f t="shared" si="3"/>
        <v>1</v>
      </c>
      <c r="AK19">
        <f t="shared" si="3"/>
        <v>1</v>
      </c>
      <c r="AL19">
        <f t="shared" si="3"/>
        <v>1</v>
      </c>
      <c r="AM19">
        <f t="shared" si="3"/>
        <v>1</v>
      </c>
      <c r="AN19">
        <f t="shared" si="3"/>
        <v>1</v>
      </c>
      <c r="AO19">
        <f t="shared" si="3"/>
        <v>1</v>
      </c>
      <c r="AP19">
        <f t="shared" si="3"/>
        <v>1</v>
      </c>
      <c r="AQ19">
        <f t="shared" si="3"/>
        <v>1</v>
      </c>
      <c r="AR19">
        <f t="shared" si="3"/>
        <v>1</v>
      </c>
      <c r="AS19">
        <f t="shared" si="3"/>
        <v>1</v>
      </c>
      <c r="AT19">
        <f t="shared" si="3"/>
        <v>1</v>
      </c>
      <c r="AU19">
        <f t="shared" si="3"/>
        <v>2</v>
      </c>
      <c r="AV19">
        <f t="shared" si="3"/>
        <v>1</v>
      </c>
      <c r="AW19">
        <f t="shared" si="3"/>
        <v>1</v>
      </c>
      <c r="AX19">
        <f t="shared" si="3"/>
        <v>1</v>
      </c>
    </row>
    <row r="20" spans="21:50" x14ac:dyDescent="0.25">
      <c r="U20" t="s">
        <v>95</v>
      </c>
      <c r="V20">
        <f>MAX(V2:V15)</f>
        <v>5</v>
      </c>
      <c r="W20">
        <f t="shared" ref="W20:AX20" si="4">MAX(W2:W15)</f>
        <v>5</v>
      </c>
      <c r="X20">
        <f t="shared" si="4"/>
        <v>5</v>
      </c>
      <c r="Y20">
        <f t="shared" si="4"/>
        <v>4</v>
      </c>
      <c r="Z20">
        <f t="shared" si="4"/>
        <v>5</v>
      </c>
      <c r="AA20">
        <f t="shared" si="4"/>
        <v>4</v>
      </c>
      <c r="AB20">
        <f t="shared" si="4"/>
        <v>4</v>
      </c>
      <c r="AC20">
        <f t="shared" si="4"/>
        <v>5</v>
      </c>
      <c r="AD20">
        <f t="shared" si="4"/>
        <v>5</v>
      </c>
      <c r="AE20">
        <f t="shared" si="4"/>
        <v>4</v>
      </c>
      <c r="AF20">
        <f t="shared" si="4"/>
        <v>5</v>
      </c>
      <c r="AG20">
        <f t="shared" si="4"/>
        <v>5</v>
      </c>
      <c r="AH20">
        <f t="shared" si="4"/>
        <v>5</v>
      </c>
      <c r="AI20">
        <f t="shared" si="4"/>
        <v>5</v>
      </c>
      <c r="AJ20">
        <f t="shared" si="4"/>
        <v>5</v>
      </c>
      <c r="AK20">
        <f t="shared" si="4"/>
        <v>5</v>
      </c>
      <c r="AL20">
        <f t="shared" si="4"/>
        <v>5</v>
      </c>
      <c r="AM20">
        <f t="shared" si="4"/>
        <v>4</v>
      </c>
      <c r="AN20">
        <f t="shared" si="4"/>
        <v>5</v>
      </c>
      <c r="AO20">
        <f t="shared" si="4"/>
        <v>5</v>
      </c>
      <c r="AP20">
        <f t="shared" si="4"/>
        <v>5</v>
      </c>
      <c r="AQ20">
        <f t="shared" si="4"/>
        <v>5</v>
      </c>
      <c r="AR20">
        <f t="shared" si="4"/>
        <v>5</v>
      </c>
      <c r="AS20">
        <f t="shared" si="4"/>
        <v>5</v>
      </c>
      <c r="AT20">
        <f t="shared" si="4"/>
        <v>5</v>
      </c>
      <c r="AU20">
        <f t="shared" si="4"/>
        <v>5</v>
      </c>
      <c r="AV20">
        <f t="shared" si="4"/>
        <v>5</v>
      </c>
      <c r="AW20">
        <f t="shared" si="4"/>
        <v>5</v>
      </c>
      <c r="AX20">
        <f t="shared" si="4"/>
        <v>5</v>
      </c>
    </row>
  </sheetData>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AB90B-2068-4AD2-984B-C3E7D4E7C825}">
  <dimension ref="A1:AY15"/>
  <sheetViews>
    <sheetView topLeftCell="F1" workbookViewId="0">
      <pane ySplit="1" topLeftCell="A2" activePane="bottomLeft" state="frozen"/>
      <selection pane="bottomLeft" activeCell="I1" sqref="I1:O1"/>
    </sheetView>
  </sheetViews>
  <sheetFormatPr defaultRowHeight="15" x14ac:dyDescent="0.25"/>
  <cols>
    <col min="1" max="3" width="15.5703125" bestFit="1" customWidth="1"/>
    <col min="4" max="4" width="20.140625" customWidth="1"/>
    <col min="51" max="51" width="119.85546875" bestFit="1" customWidth="1"/>
  </cols>
  <sheetData>
    <row r="1" spans="1:51" x14ac:dyDescent="0.25">
      <c r="A1" s="1" t="s">
        <v>0</v>
      </c>
      <c r="B1" s="1" t="s">
        <v>1</v>
      </c>
      <c r="C1" s="1" t="s">
        <v>2</v>
      </c>
      <c r="D1" s="1" t="s">
        <v>3</v>
      </c>
      <c r="E1" s="1" t="s">
        <v>96</v>
      </c>
      <c r="F1" s="1" t="s">
        <v>97</v>
      </c>
      <c r="G1" s="1" t="s">
        <v>98</v>
      </c>
      <c r="H1" s="1" t="s">
        <v>99</v>
      </c>
      <c r="I1" s="1" t="s">
        <v>100</v>
      </c>
      <c r="J1" s="1" t="s">
        <v>101</v>
      </c>
      <c r="K1" s="1" t="s">
        <v>102</v>
      </c>
      <c r="L1" s="1" t="s">
        <v>103</v>
      </c>
      <c r="M1" s="1" t="s">
        <v>104</v>
      </c>
      <c r="N1" s="1" t="s">
        <v>105</v>
      </c>
      <c r="O1" s="1" t="s">
        <v>106</v>
      </c>
      <c r="P1" s="1" t="s">
        <v>107</v>
      </c>
      <c r="Q1" s="1" t="s">
        <v>108</v>
      </c>
      <c r="R1" s="1" t="s">
        <v>109</v>
      </c>
      <c r="S1" s="1" t="s">
        <v>110</v>
      </c>
      <c r="T1" s="1" t="s">
        <v>111</v>
      </c>
      <c r="U1" s="1" t="s">
        <v>112</v>
      </c>
      <c r="V1" s="1" t="s">
        <v>113</v>
      </c>
      <c r="W1" s="1" t="s">
        <v>114</v>
      </c>
      <c r="X1" s="1" t="s">
        <v>115</v>
      </c>
      <c r="Y1" s="1" t="s">
        <v>116</v>
      </c>
      <c r="Z1" s="1" t="s">
        <v>117</v>
      </c>
      <c r="AA1" s="1" t="s">
        <v>118</v>
      </c>
      <c r="AB1" s="1" t="s">
        <v>119</v>
      </c>
      <c r="AC1" s="1" t="s">
        <v>120</v>
      </c>
      <c r="AD1" s="1" t="s">
        <v>121</v>
      </c>
      <c r="AE1" s="1" t="s">
        <v>122</v>
      </c>
      <c r="AF1" s="1" t="s">
        <v>123</v>
      </c>
      <c r="AG1" s="1" t="s">
        <v>124</v>
      </c>
      <c r="AH1" s="1" t="s">
        <v>125</v>
      </c>
      <c r="AI1" s="1" t="s">
        <v>126</v>
      </c>
      <c r="AJ1" s="1" t="s">
        <v>127</v>
      </c>
      <c r="AK1" s="1" t="s">
        <v>128</v>
      </c>
      <c r="AL1" s="1" t="s">
        <v>129</v>
      </c>
      <c r="AM1" s="1" t="s">
        <v>130</v>
      </c>
      <c r="AN1" s="1" t="s">
        <v>131</v>
      </c>
      <c r="AO1" s="1" t="s">
        <v>132</v>
      </c>
      <c r="AP1" s="1" t="s">
        <v>133</v>
      </c>
      <c r="AQ1" s="1" t="s">
        <v>134</v>
      </c>
      <c r="AR1" s="1" t="s">
        <v>135</v>
      </c>
      <c r="AS1" s="1" t="s">
        <v>136</v>
      </c>
      <c r="AT1" s="1" t="s">
        <v>137</v>
      </c>
      <c r="AU1" s="1" t="s">
        <v>138</v>
      </c>
      <c r="AV1" s="1" t="s">
        <v>139</v>
      </c>
      <c r="AW1" s="1" t="s">
        <v>140</v>
      </c>
      <c r="AX1" s="1" t="s">
        <v>141</v>
      </c>
      <c r="AY1" s="1" t="s">
        <v>142</v>
      </c>
    </row>
    <row r="2" spans="1:51" ht="30" x14ac:dyDescent="0.25">
      <c r="A2" s="2" t="d" cm="1">
        <f t="array" ref="A2:AY15">survey!A2:AY15</f>
        <v>2025-06-04T08:22:54.99999976716935850</v>
      </c>
      <c r="B2" s="2" t="d">
        <v>2025-06-04T09:36:56.00000001490116300</v>
      </c>
      <c r="C2" s="2" t="d">
        <v>2025-06-04T09:36:56.94599983748048325</v>
      </c>
      <c r="D2" s="3" t="str">
        <v>R_5qVjsvNV1nUQQkF</v>
      </c>
      <c r="E2" s="4">
        <v>33</v>
      </c>
      <c r="F2" s="3" t="str">
        <v>Male</v>
      </c>
      <c r="G2" s="3" t="str">
        <v>Right</v>
      </c>
      <c r="H2" s="3" t="str">
        <v>Other</v>
      </c>
      <c r="I2" s="5" t="str">
        <v/>
      </c>
      <c r="J2" s="5">
        <v>1</v>
      </c>
      <c r="K2" s="5" t="str">
        <v/>
      </c>
      <c r="L2" s="5">
        <v>0</v>
      </c>
      <c r="M2" s="5">
        <v>0</v>
      </c>
      <c r="N2" s="5">
        <v>20</v>
      </c>
      <c r="O2" s="5">
        <v>0</v>
      </c>
      <c r="P2" s="3" t="str">
        <v>No</v>
      </c>
      <c r="Q2" s="3" t="str">
        <v>&lt;1 hour</v>
      </c>
      <c r="R2" s="3" t="str">
        <v>Yes</v>
      </c>
      <c r="S2" s="3" t="str">
        <v>&lt;1 hour</v>
      </c>
      <c r="T2" s="3" t="str">
        <v>No</v>
      </c>
      <c r="U2" s="3" t="str">
        <v/>
      </c>
      <c r="V2">
        <v>4</v>
      </c>
      <c r="W2">
        <v>3</v>
      </c>
      <c r="X2">
        <v>3</v>
      </c>
      <c r="Y2">
        <v>3</v>
      </c>
      <c r="Z2">
        <v>3</v>
      </c>
      <c r="AA2">
        <v>2</v>
      </c>
      <c r="AB2">
        <v>2</v>
      </c>
      <c r="AC2">
        <v>4</v>
      </c>
      <c r="AD2">
        <v>3</v>
      </c>
      <c r="AE2">
        <v>3</v>
      </c>
      <c r="AF2">
        <v>3</v>
      </c>
      <c r="AG2">
        <v>2</v>
      </c>
      <c r="AH2">
        <v>2</v>
      </c>
      <c r="AI2">
        <v>2</v>
      </c>
      <c r="AJ2">
        <v>3</v>
      </c>
      <c r="AK2">
        <v>3</v>
      </c>
      <c r="AL2">
        <v>4</v>
      </c>
      <c r="AM2">
        <v>3</v>
      </c>
      <c r="AN2">
        <v>3</v>
      </c>
      <c r="AO2">
        <v>3</v>
      </c>
      <c r="AP2">
        <v>5</v>
      </c>
      <c r="AQ2">
        <v>3</v>
      </c>
      <c r="AR2">
        <v>4</v>
      </c>
      <c r="AS2">
        <v>4</v>
      </c>
      <c r="AT2">
        <v>3</v>
      </c>
      <c r="AU2">
        <v>5</v>
      </c>
      <c r="AV2">
        <v>5</v>
      </c>
      <c r="AW2">
        <v>5</v>
      </c>
      <c r="AX2">
        <v>5</v>
      </c>
      <c r="AY2" s="3" t="str">
        <v>the simulator screen should show the ednoscopist hand holding the scope. improve forward and backward scope movement, make the suture transfer close to reality</v>
      </c>
    </row>
    <row r="3" spans="1:51" x14ac:dyDescent="0.25">
      <c r="A3" s="2" t="d">
        <v>2025-06-04T08:27:17.000000034458935050</v>
      </c>
      <c r="B3" s="2" t="d">
        <v>2025-06-04T12:17:48.99999969173222925</v>
      </c>
      <c r="C3" s="2" t="d">
        <v>2025-06-04T12:17:49.5770000573247675</v>
      </c>
      <c r="D3" s="3" t="str">
        <v>R_5HRCaY9LEPHziQY</v>
      </c>
      <c r="E3" s="4">
        <v>31</v>
      </c>
      <c r="F3" s="3" t="str">
        <v>Male</v>
      </c>
      <c r="G3" s="3" t="str">
        <v>Right</v>
      </c>
      <c r="H3" s="3" t="str">
        <v>White</v>
      </c>
      <c r="I3" s="5">
        <v>2</v>
      </c>
      <c r="J3" s="5" t="str">
        <v/>
      </c>
      <c r="K3" s="5" t="str">
        <v/>
      </c>
      <c r="L3" s="5">
        <v>100</v>
      </c>
      <c r="M3" s="5">
        <v>1000</v>
      </c>
      <c r="N3" s="5">
        <v>5</v>
      </c>
      <c r="O3" s="5">
        <v>0</v>
      </c>
      <c r="P3" s="3" t="str">
        <v>No</v>
      </c>
      <c r="Q3" s="3" t="str">
        <v/>
      </c>
      <c r="R3" s="3" t="str">
        <v>Yes</v>
      </c>
      <c r="S3" s="3" t="str">
        <v>&lt;1 hour</v>
      </c>
      <c r="T3" s="3" t="str">
        <v>No</v>
      </c>
      <c r="U3" s="3" t="str">
        <v/>
      </c>
      <c r="V3">
        <v>2</v>
      </c>
      <c r="W3">
        <v>2</v>
      </c>
      <c r="X3">
        <v>2</v>
      </c>
      <c r="Y3">
        <v>2</v>
      </c>
      <c r="Z3">
        <v>3</v>
      </c>
      <c r="AA3">
        <v>2</v>
      </c>
      <c r="AB3">
        <v>2</v>
      </c>
      <c r="AC3">
        <v>2</v>
      </c>
      <c r="AD3">
        <v>3</v>
      </c>
      <c r="AE3">
        <v>2</v>
      </c>
      <c r="AF3">
        <v>2</v>
      </c>
      <c r="AG3">
        <v>2</v>
      </c>
      <c r="AH3">
        <v>2</v>
      </c>
      <c r="AI3">
        <v>2</v>
      </c>
      <c r="AJ3">
        <v>3</v>
      </c>
      <c r="AK3">
        <v>2</v>
      </c>
      <c r="AL3">
        <v>2</v>
      </c>
      <c r="AM3">
        <v>2</v>
      </c>
      <c r="AN3">
        <v>4</v>
      </c>
      <c r="AO3">
        <v>3</v>
      </c>
      <c r="AP3">
        <v>3</v>
      </c>
      <c r="AQ3">
        <v>1</v>
      </c>
      <c r="AR3">
        <v>1</v>
      </c>
      <c r="AS3">
        <v>2</v>
      </c>
      <c r="AT3">
        <v>2</v>
      </c>
      <c r="AU3">
        <v>4</v>
      </c>
      <c r="AV3">
        <v>4</v>
      </c>
      <c r="AW3">
        <v>4</v>
      </c>
      <c r="AX3">
        <v>4</v>
      </c>
      <c r="AY3" s="3" t="str">
        <v/>
      </c>
    </row>
    <row r="4" spans="1:51" x14ac:dyDescent="0.25">
      <c r="A4" s="2" t="d">
        <v>2025-06-04T12:19:01.00000017788261475</v>
      </c>
      <c r="B4" s="2" t="d">
        <v>2025-06-04T12:47:05.00000030267983800</v>
      </c>
      <c r="C4" s="2" t="d">
        <v>2025-06-04T12:47:05.63799975905567175</v>
      </c>
      <c r="D4" s="3" t="str">
        <v>R_60OsKhgbCIBwRyd</v>
      </c>
      <c r="E4" s="4">
        <v>35</v>
      </c>
      <c r="F4" s="3" t="str">
        <v>Male</v>
      </c>
      <c r="G4" s="3" t="str">
        <v>Right</v>
      </c>
      <c r="H4" s="3" t="str">
        <v>Other</v>
      </c>
      <c r="I4" s="5">
        <v>3</v>
      </c>
      <c r="J4" s="5" t="str">
        <v/>
      </c>
      <c r="K4" s="5" t="str">
        <v/>
      </c>
      <c r="L4" s="5">
        <v>500</v>
      </c>
      <c r="M4" s="5">
        <v>2000</v>
      </c>
      <c r="N4" s="5">
        <v>5</v>
      </c>
      <c r="O4" s="5">
        <v>1</v>
      </c>
      <c r="P4" s="3" t="str">
        <v>No</v>
      </c>
      <c r="Q4" s="3" t="str">
        <v/>
      </c>
      <c r="R4" s="3" t="str">
        <v>No</v>
      </c>
      <c r="S4" s="3" t="str">
        <v/>
      </c>
      <c r="T4" s="3" t="str">
        <v>No</v>
      </c>
      <c r="U4" s="3" t="str">
        <v/>
      </c>
      <c r="V4">
        <v>3</v>
      </c>
      <c r="W4">
        <v>2</v>
      </c>
      <c r="X4">
        <v>5</v>
      </c>
      <c r="Y4">
        <v>2</v>
      </c>
      <c r="Z4">
        <v>3</v>
      </c>
      <c r="AA4">
        <v>3</v>
      </c>
      <c r="AB4">
        <v>3</v>
      </c>
      <c r="AC4">
        <v>3</v>
      </c>
      <c r="AD4">
        <v>2</v>
      </c>
      <c r="AE4">
        <v>2</v>
      </c>
      <c r="AF4">
        <v>3</v>
      </c>
      <c r="AG4">
        <v>4</v>
      </c>
      <c r="AH4">
        <v>3</v>
      </c>
      <c r="AI4">
        <v>2</v>
      </c>
      <c r="AJ4">
        <v>2</v>
      </c>
      <c r="AK4">
        <v>2</v>
      </c>
      <c r="AL4">
        <v>2</v>
      </c>
      <c r="AM4">
        <v>2</v>
      </c>
      <c r="AN4">
        <v>3</v>
      </c>
      <c r="AO4">
        <v>3</v>
      </c>
      <c r="AP4">
        <v>3</v>
      </c>
      <c r="AQ4">
        <v>2</v>
      </c>
      <c r="AR4">
        <v>3</v>
      </c>
      <c r="AS4">
        <v>2</v>
      </c>
      <c r="AT4">
        <v>3</v>
      </c>
      <c r="AU4">
        <v>2</v>
      </c>
      <c r="AV4">
        <v>2</v>
      </c>
      <c r="AW4">
        <v>3</v>
      </c>
      <c r="AX4">
        <v>3</v>
      </c>
      <c r="AY4" s="3" t="str">
        <v>Perceptual cues</v>
      </c>
    </row>
    <row r="5" spans="1:51" ht="30" x14ac:dyDescent="0.25">
      <c r="A5" s="2" t="d">
        <v>2025-06-04T11:13:03.99999991524964725</v>
      </c>
      <c r="B5" s="2" t="d">
        <v>2025-06-04T13:27:27.00000006705522675</v>
      </c>
      <c r="C5" s="2" t="d">
        <v>2025-06-04T13:27:27.46100013144314400</v>
      </c>
      <c r="D5" s="3" t="str">
        <v>R_5mSw8HPevBLdV4d</v>
      </c>
      <c r="E5" s="4">
        <v>50</v>
      </c>
      <c r="F5" s="3" t="str">
        <v>Male</v>
      </c>
      <c r="G5" s="3" t="str">
        <v>Right</v>
      </c>
      <c r="H5" s="3" t="str">
        <v>White</v>
      </c>
      <c r="I5" s="5" t="str">
        <v/>
      </c>
      <c r="J5" s="5" t="str">
        <v/>
      </c>
      <c r="K5" s="5">
        <v>20</v>
      </c>
      <c r="L5" s="5">
        <v>500</v>
      </c>
      <c r="M5" s="5">
        <v>20000</v>
      </c>
      <c r="N5" s="5">
        <v>1000</v>
      </c>
      <c r="O5" s="5">
        <v>20</v>
      </c>
      <c r="P5" s="3" t="str">
        <v>No</v>
      </c>
      <c r="Q5" s="3" t="str">
        <v>&lt;1 hour</v>
      </c>
      <c r="R5" s="3" t="str">
        <v>No</v>
      </c>
      <c r="S5" s="3" t="str">
        <v>&lt;1 hour</v>
      </c>
      <c r="T5" s="3" t="str">
        <v>No</v>
      </c>
      <c r="U5" s="3" t="str">
        <v/>
      </c>
      <c r="V5">
        <v>3</v>
      </c>
      <c r="W5">
        <v>2</v>
      </c>
      <c r="X5">
        <v>3</v>
      </c>
      <c r="Y5">
        <v>3</v>
      </c>
      <c r="Z5">
        <v>2</v>
      </c>
      <c r="AA5">
        <v>3</v>
      </c>
      <c r="AB5">
        <v>3</v>
      </c>
      <c r="AC5">
        <v>3</v>
      </c>
      <c r="AD5">
        <v>2</v>
      </c>
      <c r="AE5">
        <v>2</v>
      </c>
      <c r="AF5">
        <v>3</v>
      </c>
      <c r="AG5">
        <v>2</v>
      </c>
      <c r="AH5">
        <v>3</v>
      </c>
      <c r="AI5">
        <v>3</v>
      </c>
      <c r="AJ5">
        <v>3</v>
      </c>
      <c r="AK5">
        <v>2</v>
      </c>
      <c r="AL5">
        <v>2</v>
      </c>
      <c r="AM5">
        <v>2</v>
      </c>
      <c r="AN5">
        <v>2</v>
      </c>
      <c r="AO5">
        <v>3</v>
      </c>
      <c r="AP5">
        <v>3</v>
      </c>
      <c r="AQ5">
        <v>3</v>
      </c>
      <c r="AR5">
        <v>3</v>
      </c>
      <c r="AS5">
        <v>3</v>
      </c>
      <c r="AT5">
        <v>2</v>
      </c>
      <c r="AU5">
        <v>3</v>
      </c>
      <c r="AV5">
        <v>3</v>
      </c>
      <c r="AW5">
        <v>2</v>
      </c>
      <c r="AX5">
        <v>4</v>
      </c>
      <c r="AY5" s="3" t="str">
        <v>the scope buttons function completely different to a physical scope-so new hand eye coordination skills have to be leanred to be able to perform this assessment which takes away from the experience</v>
      </c>
    </row>
    <row r="6" spans="1:51" ht="45" x14ac:dyDescent="0.25">
      <c r="A6" s="2" t="d">
        <v>2025-06-04T13:48:26.00000016856938450</v>
      </c>
      <c r="B6" s="2" t="d">
        <v>2025-06-04T14:25:22.99999978858977525</v>
      </c>
      <c r="C6" s="2" t="d">
        <v>2025-06-04T14:25:24.26600013859569900</v>
      </c>
      <c r="D6" s="3" t="str">
        <v>R_3do5dDARlTtFow2</v>
      </c>
      <c r="E6" s="4">
        <v>45</v>
      </c>
      <c r="F6" s="3" t="str">
        <v>Male</v>
      </c>
      <c r="G6" s="3" t="str">
        <v>Right</v>
      </c>
      <c r="H6" s="3" t="str">
        <v>White</v>
      </c>
      <c r="I6" s="5" t="str">
        <v/>
      </c>
      <c r="J6" s="5" t="str">
        <v/>
      </c>
      <c r="K6" s="5">
        <v>11</v>
      </c>
      <c r="L6" s="5">
        <v>600</v>
      </c>
      <c r="M6" s="5">
        <v>14000</v>
      </c>
      <c r="N6" s="5">
        <v>100</v>
      </c>
      <c r="O6" s="5">
        <v>0</v>
      </c>
      <c r="P6" s="3" t="str">
        <v>No</v>
      </c>
      <c r="Q6" s="3" t="str">
        <v/>
      </c>
      <c r="R6" s="3" t="str">
        <v>Yes</v>
      </c>
      <c r="S6" s="3" t="str">
        <v>&lt;1 hour</v>
      </c>
      <c r="T6" s="3" t="str">
        <v>No</v>
      </c>
      <c r="U6" s="3" t="str">
        <v/>
      </c>
      <c r="V6">
        <v>3</v>
      </c>
      <c r="W6">
        <v>3</v>
      </c>
      <c r="X6">
        <v>3</v>
      </c>
      <c r="Y6">
        <v>2</v>
      </c>
      <c r="Z6">
        <v>2</v>
      </c>
      <c r="AA6">
        <v>1</v>
      </c>
      <c r="AB6">
        <v>1</v>
      </c>
      <c r="AC6">
        <v>1</v>
      </c>
      <c r="AD6">
        <v>1</v>
      </c>
      <c r="AE6">
        <v>2</v>
      </c>
      <c r="AF6">
        <v>1</v>
      </c>
      <c r="AG6">
        <v>1</v>
      </c>
      <c r="AH6">
        <v>1</v>
      </c>
      <c r="AI6">
        <v>2</v>
      </c>
      <c r="AJ6">
        <v>1</v>
      </c>
      <c r="AK6">
        <v>1</v>
      </c>
      <c r="AL6">
        <v>1</v>
      </c>
      <c r="AM6">
        <v>1</v>
      </c>
      <c r="AN6">
        <v>1</v>
      </c>
      <c r="AO6">
        <v>1</v>
      </c>
      <c r="AP6">
        <v>3</v>
      </c>
      <c r="AQ6">
        <v>2</v>
      </c>
      <c r="AR6">
        <v>2</v>
      </c>
      <c r="AS6">
        <v>1</v>
      </c>
      <c r="AT6">
        <v>1</v>
      </c>
      <c r="AU6">
        <v>4</v>
      </c>
      <c r="AV6">
        <v>4</v>
      </c>
      <c r="AW6">
        <v>4</v>
      </c>
      <c r="AX6">
        <v>4</v>
      </c>
      <c r="AY6" s="3" t="str">
        <v xml:space="preserve">1) Improve movements (1 to 1) of endoscope torsion, advancement with virtual movements. 2) Change controls to more accurately align with suturing maneuvers. 3) Try to make it less likely for the simulation to exit or move through the wall of the stomach with movements </v>
      </c>
    </row>
    <row r="7" spans="1:51" x14ac:dyDescent="0.25">
      <c r="A7" s="2" t="d">
        <v>2025-06-05T07:58:04.00000012479722325</v>
      </c>
      <c r="B7" s="2" t="d">
        <v>2025-06-05T08:40:28.99999972432851825</v>
      </c>
      <c r="C7" s="2" t="d">
        <v>2025-06-05T08:40:29.60600000806152975</v>
      </c>
      <c r="D7" s="3" t="str">
        <v>R_3NQyd680PZZcMFY</v>
      </c>
      <c r="E7" s="4">
        <v>41</v>
      </c>
      <c r="F7" s="3" t="str">
        <v>Male</v>
      </c>
      <c r="G7" s="3" t="str">
        <v>Right</v>
      </c>
      <c r="H7" s="3" t="str">
        <v>Asian</v>
      </c>
      <c r="I7" s="5" t="str">
        <v/>
      </c>
      <c r="J7" s="5" t="str">
        <v/>
      </c>
      <c r="K7" s="5">
        <v>3</v>
      </c>
      <c r="L7" s="5">
        <v>500</v>
      </c>
      <c r="M7" s="5">
        <v>4000</v>
      </c>
      <c r="N7" s="5">
        <v>50</v>
      </c>
      <c r="O7" s="5">
        <v>0</v>
      </c>
      <c r="P7" s="3" t="str">
        <v>No</v>
      </c>
      <c r="Q7" s="3" t="str">
        <v>&lt;1 hour</v>
      </c>
      <c r="R7" s="3" t="str">
        <v>No</v>
      </c>
      <c r="S7" s="3" t="str">
        <v/>
      </c>
      <c r="T7" s="3" t="str">
        <v>No</v>
      </c>
      <c r="U7" s="3" t="str">
        <v/>
      </c>
      <c r="V7">
        <v>3</v>
      </c>
      <c r="W7">
        <v>2</v>
      </c>
      <c r="X7">
        <v>2</v>
      </c>
      <c r="Y7">
        <v>2</v>
      </c>
      <c r="Z7">
        <v>2</v>
      </c>
      <c r="AA7">
        <v>2</v>
      </c>
      <c r="AB7">
        <v>2</v>
      </c>
      <c r="AC7">
        <v>2</v>
      </c>
      <c r="AD7">
        <v>3</v>
      </c>
      <c r="AE7">
        <v>2</v>
      </c>
      <c r="AF7">
        <v>3</v>
      </c>
      <c r="AG7">
        <v>2</v>
      </c>
      <c r="AH7">
        <v>2</v>
      </c>
      <c r="AI7">
        <v>2</v>
      </c>
      <c r="AJ7">
        <v>3</v>
      </c>
      <c r="AK7">
        <v>2</v>
      </c>
      <c r="AL7">
        <v>2</v>
      </c>
      <c r="AM7">
        <v>2</v>
      </c>
      <c r="AN7">
        <v>2</v>
      </c>
      <c r="AO7">
        <v>2</v>
      </c>
      <c r="AP7">
        <v>2</v>
      </c>
      <c r="AQ7">
        <v>2</v>
      </c>
      <c r="AR7">
        <v>3</v>
      </c>
      <c r="AS7">
        <v>3</v>
      </c>
      <c r="AT7">
        <v>2</v>
      </c>
      <c r="AU7">
        <v>4</v>
      </c>
      <c r="AV7">
        <v>3</v>
      </c>
      <c r="AW7">
        <v>2</v>
      </c>
      <c r="AX7">
        <v>3</v>
      </c>
      <c r="AY7" s="3" t="str">
        <v/>
      </c>
    </row>
    <row r="8" spans="1:51" ht="90" x14ac:dyDescent="0.25">
      <c r="A8" s="2" t="d">
        <v>2025-06-05T14:50:44.99999976251274675</v>
      </c>
      <c r="B8" s="2" t="d">
        <v>2025-06-05T15:29:44.00000024121254400</v>
      </c>
      <c r="C8" s="2" t="d">
        <v>2025-06-05T15:29:45.1790002081543200</v>
      </c>
      <c r="D8" s="3" t="str">
        <v>R_3Hkd05oftH0A6pH</v>
      </c>
      <c r="E8" s="4">
        <v>34</v>
      </c>
      <c r="F8" s="3" t="str">
        <v>Female</v>
      </c>
      <c r="G8" s="3" t="str">
        <v>Right</v>
      </c>
      <c r="H8" s="3" t="str">
        <v>Asian</v>
      </c>
      <c r="I8" s="5" t="str">
        <v/>
      </c>
      <c r="J8" s="5" t="str">
        <v/>
      </c>
      <c r="K8" s="5">
        <v>1</v>
      </c>
      <c r="L8" s="5">
        <v>500</v>
      </c>
      <c r="M8" s="5">
        <v>3500</v>
      </c>
      <c r="N8" s="5">
        <v>50</v>
      </c>
      <c r="O8" s="5">
        <v>0</v>
      </c>
      <c r="P8" s="3" t="str">
        <v>No</v>
      </c>
      <c r="Q8" s="3" t="str">
        <v/>
      </c>
      <c r="R8" s="3" t="str">
        <v>No</v>
      </c>
      <c r="S8" s="3" t="str">
        <v/>
      </c>
      <c r="T8" s="3" t="str">
        <v>No</v>
      </c>
      <c r="U8" s="3" t="str">
        <v/>
      </c>
      <c r="V8">
        <v>2</v>
      </c>
      <c r="W8">
        <v>2</v>
      </c>
      <c r="X8">
        <v>1</v>
      </c>
      <c r="Y8">
        <v>1</v>
      </c>
      <c r="Z8">
        <v>1</v>
      </c>
      <c r="AA8">
        <v>2</v>
      </c>
      <c r="AB8">
        <v>2</v>
      </c>
      <c r="AC8">
        <v>2</v>
      </c>
      <c r="AD8">
        <v>2</v>
      </c>
      <c r="AE8">
        <v>2</v>
      </c>
      <c r="AF8">
        <v>2</v>
      </c>
      <c r="AG8">
        <v>1</v>
      </c>
      <c r="AH8">
        <v>2</v>
      </c>
      <c r="AI8">
        <v>1</v>
      </c>
      <c r="AJ8">
        <v>1</v>
      </c>
      <c r="AK8">
        <v>3</v>
      </c>
      <c r="AL8">
        <v>2</v>
      </c>
      <c r="AM8">
        <v>2</v>
      </c>
      <c r="AN8">
        <v>2</v>
      </c>
      <c r="AO8">
        <v>2</v>
      </c>
      <c r="AP8">
        <v>1</v>
      </c>
      <c r="AQ8">
        <v>1</v>
      </c>
      <c r="AR8">
        <v>1</v>
      </c>
      <c r="AS8">
        <v>1</v>
      </c>
      <c r="AT8">
        <v>2</v>
      </c>
      <c r="AU8">
        <v>2</v>
      </c>
      <c r="AV8">
        <v>1</v>
      </c>
      <c r="AW8">
        <v>1</v>
      </c>
      <c r="AX8">
        <v>1</v>
      </c>
      <c r="AY8" s="3" t="str">
        <v xml:space="preserve">- The scope handling - buttons used for specific commands and technique is not similar to endosuturing in real life. 
- would integrate view of the endoscope within the virtual simulator window. I felt that I was searching/feeling for buttons and knobs since I could not see them 
- This could be helpful for a beginner however needs significant improvement if it is to assist someone used to performing endo-suturing. 
</v>
      </c>
    </row>
    <row r="9" spans="1:51" ht="30" x14ac:dyDescent="0.25">
      <c r="A9" s="2" t="d">
        <v>2025-06-05T15:38:42.00000027660280275</v>
      </c>
      <c r="B9" s="2" t="d">
        <v>2025-06-05T15:56:56.999999759718775650</v>
      </c>
      <c r="C9" s="2" t="d">
        <v>2025-06-05T15:56:58.388999719172715825</v>
      </c>
      <c r="D9" s="3" t="str">
        <v>R_79nPOftvEFuZG7H</v>
      </c>
      <c r="E9" s="4">
        <v>41</v>
      </c>
      <c r="F9" s="3" t="str">
        <v>Male</v>
      </c>
      <c r="G9" s="3" t="str">
        <v>Right</v>
      </c>
      <c r="H9" s="3" t="str">
        <v>White</v>
      </c>
      <c r="I9" s="5" t="str">
        <v/>
      </c>
      <c r="J9" s="5" t="str">
        <v/>
      </c>
      <c r="K9" s="5">
        <v>8</v>
      </c>
      <c r="L9" s="5">
        <v>600</v>
      </c>
      <c r="M9" s="5">
        <v>10000</v>
      </c>
      <c r="N9" s="5">
        <v>150</v>
      </c>
      <c r="O9" s="5">
        <v>15</v>
      </c>
      <c r="P9" s="3" t="str">
        <v>No</v>
      </c>
      <c r="Q9" s="3" t="str">
        <v/>
      </c>
      <c r="R9" s="3" t="str">
        <v>Yes</v>
      </c>
      <c r="S9" s="3" t="str">
        <v>&lt;1 hour</v>
      </c>
      <c r="T9" s="3" t="str">
        <v>No</v>
      </c>
      <c r="U9" s="3" t="str">
        <v/>
      </c>
      <c r="V9">
        <v>4</v>
      </c>
      <c r="W9">
        <v>3</v>
      </c>
      <c r="X9">
        <v>4</v>
      </c>
      <c r="Y9">
        <v>3</v>
      </c>
      <c r="Z9">
        <v>3</v>
      </c>
      <c r="AA9">
        <v>3</v>
      </c>
      <c r="AB9">
        <v>3</v>
      </c>
      <c r="AC9">
        <v>2</v>
      </c>
      <c r="AD9">
        <v>4</v>
      </c>
      <c r="AE9">
        <v>3</v>
      </c>
      <c r="AF9">
        <v>3</v>
      </c>
      <c r="AG9">
        <v>3</v>
      </c>
      <c r="AH9">
        <v>2</v>
      </c>
      <c r="AI9">
        <v>2</v>
      </c>
      <c r="AJ9">
        <v>3</v>
      </c>
      <c r="AK9">
        <v>4</v>
      </c>
      <c r="AL9">
        <v>4</v>
      </c>
      <c r="AM9">
        <v>3</v>
      </c>
      <c r="AN9">
        <v>4</v>
      </c>
      <c r="AO9">
        <v>3</v>
      </c>
      <c r="AP9">
        <v>4</v>
      </c>
      <c r="AQ9">
        <v>3</v>
      </c>
      <c r="AR9">
        <v>4</v>
      </c>
      <c r="AS9">
        <v>3</v>
      </c>
      <c r="AT9">
        <v>3</v>
      </c>
      <c r="AU9">
        <v>5</v>
      </c>
      <c r="AV9">
        <v>5</v>
      </c>
      <c r="AW9">
        <v>5</v>
      </c>
      <c r="AX9">
        <v>5</v>
      </c>
      <c r="AY9" s="3" t="str">
        <v xml:space="preserve">Make the tool commands more realistic (to real life). Make anchor exchange, tighten and cinch more realistic.  The insertion tube is overly sensitive.  Allow for torque of insertion tube. Consider entirely virtual commands. </v>
      </c>
    </row>
    <row r="10" spans="1:51" ht="45" x14ac:dyDescent="0.25">
      <c r="A10" s="2" t="d">
        <v>2025-06-05T15:57:13.999999961815774200</v>
      </c>
      <c r="B10" s="2" t="d">
        <v>2025-06-05T16:29:40.99999995902180850</v>
      </c>
      <c r="C10" s="2" t="d">
        <v>2025-06-05T16:29:41.93599996156990200</v>
      </c>
      <c r="D10" s="3" t="str">
        <v>R_32xqPOxwfN2c99H</v>
      </c>
      <c r="E10" s="4">
        <v>36</v>
      </c>
      <c r="F10" s="3" t="str">
        <v>Male</v>
      </c>
      <c r="G10" s="3" t="str">
        <v>Right</v>
      </c>
      <c r="H10" s="3" t="str">
        <v>Hispanic</v>
      </c>
      <c r="I10" s="5" t="str">
        <v/>
      </c>
      <c r="J10" s="5" t="str">
        <v/>
      </c>
      <c r="K10" s="5">
        <v>2</v>
      </c>
      <c r="L10" s="5">
        <v>500</v>
      </c>
      <c r="M10" s="5">
        <v>5000</v>
      </c>
      <c r="N10" s="5">
        <v>25</v>
      </c>
      <c r="O10" s="5">
        <v>0</v>
      </c>
      <c r="P10" s="3" t="str">
        <v>No</v>
      </c>
      <c r="Q10" s="3" t="str">
        <v>&lt;1 hour</v>
      </c>
      <c r="R10" s="3" t="str">
        <v>Yes</v>
      </c>
      <c r="S10" s="3" t="str">
        <v>&lt;1 hour</v>
      </c>
      <c r="T10" s="3" t="str">
        <v>Yes</v>
      </c>
      <c r="U10" s="3" t="str">
        <v>medtronic polyp detector</v>
      </c>
      <c r="V10">
        <v>4</v>
      </c>
      <c r="W10">
        <v>4</v>
      </c>
      <c r="X10">
        <v>4</v>
      </c>
      <c r="Y10">
        <v>3</v>
      </c>
      <c r="Z10">
        <v>2</v>
      </c>
      <c r="AA10">
        <v>4</v>
      </c>
      <c r="AB10">
        <v>2</v>
      </c>
      <c r="AC10">
        <v>3</v>
      </c>
      <c r="AD10">
        <v>3</v>
      </c>
      <c r="AE10">
        <v>3</v>
      </c>
      <c r="AF10">
        <v>1</v>
      </c>
      <c r="AG10">
        <v>3</v>
      </c>
      <c r="AH10">
        <v>3</v>
      </c>
      <c r="AI10">
        <v>2</v>
      </c>
      <c r="AJ10">
        <v>2</v>
      </c>
      <c r="AK10">
        <v>4</v>
      </c>
      <c r="AL10">
        <v>4</v>
      </c>
      <c r="AM10">
        <v>2</v>
      </c>
      <c r="AN10">
        <v>2</v>
      </c>
      <c r="AO10">
        <v>3</v>
      </c>
      <c r="AP10">
        <v>3</v>
      </c>
      <c r="AQ10">
        <v>2</v>
      </c>
      <c r="AR10">
        <v>3</v>
      </c>
      <c r="AS10">
        <v>3</v>
      </c>
      <c r="AT10">
        <v>2</v>
      </c>
      <c r="AU10">
        <v>2</v>
      </c>
      <c r="AV10">
        <v>4</v>
      </c>
      <c r="AW10">
        <v>4</v>
      </c>
      <c r="AX10">
        <v>4</v>
      </c>
      <c r="AY10" s="3" t="str">
        <v>the scope currently is too sensitive to movement and the controls are not realistic would be better if the normal suturing controls would be used</v>
      </c>
    </row>
    <row r="11" spans="1:51" x14ac:dyDescent="0.25">
      <c r="A11" s="2" t="d">
        <v>2025-06-06T09:53:35.99999992176890100</v>
      </c>
      <c r="B11" s="2" t="d">
        <v>2025-06-06T10:24:54.99999973922968125</v>
      </c>
      <c r="C11" s="2" t="d">
        <v>2025-06-06T10:24:56.10999987926334225</v>
      </c>
      <c r="D11" s="3" t="str">
        <v>R_31iOAJPZHN3HzBN</v>
      </c>
      <c r="E11" s="4">
        <v>62</v>
      </c>
      <c r="F11" s="3" t="str">
        <v>Male</v>
      </c>
      <c r="G11" s="3" t="str">
        <v>Left</v>
      </c>
      <c r="H11" s="3" t="str">
        <v>White</v>
      </c>
      <c r="I11" s="5" t="str">
        <v/>
      </c>
      <c r="J11" s="5" t="str">
        <v/>
      </c>
      <c r="K11" s="5">
        <v>29</v>
      </c>
      <c r="L11" s="5">
        <v>350</v>
      </c>
      <c r="M11" s="5">
        <v>20000</v>
      </c>
      <c r="N11" s="5">
        <v>0</v>
      </c>
      <c r="O11" s="5">
        <v>0</v>
      </c>
      <c r="P11" s="3" t="str">
        <v>No</v>
      </c>
      <c r="Q11" s="3" t="str">
        <v/>
      </c>
      <c r="R11" s="3" t="str">
        <v>No</v>
      </c>
      <c r="S11" s="3" t="str">
        <v/>
      </c>
      <c r="T11" s="3" t="str">
        <v>No</v>
      </c>
      <c r="U11" s="3" t="str">
        <v/>
      </c>
      <c r="V11">
        <v>5</v>
      </c>
      <c r="W11">
        <v>5</v>
      </c>
      <c r="X11">
        <v>5</v>
      </c>
      <c r="Y11">
        <v>4</v>
      </c>
      <c r="Z11">
        <v>3</v>
      </c>
      <c r="AA11">
        <v>4</v>
      </c>
      <c r="AB11">
        <v>3</v>
      </c>
      <c r="AC11">
        <v>5</v>
      </c>
      <c r="AD11">
        <v>5</v>
      </c>
      <c r="AE11">
        <v>4</v>
      </c>
      <c r="AF11">
        <v>4</v>
      </c>
      <c r="AG11">
        <v>5</v>
      </c>
      <c r="AH11">
        <v>5</v>
      </c>
      <c r="AI11">
        <v>5</v>
      </c>
      <c r="AJ11">
        <v>5</v>
      </c>
      <c r="AK11">
        <v>5</v>
      </c>
      <c r="AL11">
        <v>5</v>
      </c>
      <c r="AM11">
        <v>4</v>
      </c>
      <c r="AN11">
        <v>5</v>
      </c>
      <c r="AO11">
        <v>4</v>
      </c>
      <c r="AP11">
        <v>3</v>
      </c>
      <c r="AQ11">
        <v>5</v>
      </c>
      <c r="AR11">
        <v>4</v>
      </c>
      <c r="AS11">
        <v>4</v>
      </c>
      <c r="AT11">
        <v>4</v>
      </c>
      <c r="AU11">
        <v>4</v>
      </c>
      <c r="AV11">
        <v>4</v>
      </c>
      <c r="AW11">
        <v>5</v>
      </c>
      <c r="AX11">
        <v>5</v>
      </c>
      <c r="AY11" s="3" t="str">
        <v>many tasks not performed</v>
      </c>
    </row>
    <row r="12" spans="1:51" x14ac:dyDescent="0.25">
      <c r="A12" s="2" t="d">
        <v>2025-06-06T12:00:44.99999983236193650</v>
      </c>
      <c r="B12" s="2" t="d">
        <v>2025-06-06T12:51:15.0000002793967725</v>
      </c>
      <c r="C12" s="2" t="d">
        <v>2025-06-06T12:51:16.04099996387958375</v>
      </c>
      <c r="D12" s="3" t="str">
        <v>R_5fW7FlSpdkUrMsx</v>
      </c>
      <c r="E12" s="4">
        <v>70</v>
      </c>
      <c r="F12" s="3" t="str">
        <v>Male</v>
      </c>
      <c r="G12" s="3" t="str">
        <v>Right</v>
      </c>
      <c r="H12" s="3" t="str">
        <v>White</v>
      </c>
      <c r="I12" s="5" t="str">
        <v/>
      </c>
      <c r="J12" s="5" t="str">
        <v/>
      </c>
      <c r="K12" s="5">
        <v>39</v>
      </c>
      <c r="L12" s="5">
        <v>400</v>
      </c>
      <c r="M12" s="5">
        <v>30000</v>
      </c>
      <c r="N12" s="5">
        <v>0</v>
      </c>
      <c r="O12" s="5">
        <v>0</v>
      </c>
      <c r="P12" s="3" t="str">
        <v>No</v>
      </c>
      <c r="Q12" s="3" t="str">
        <v>&lt;1 hour</v>
      </c>
      <c r="R12" s="3" t="str">
        <v>No</v>
      </c>
      <c r="S12" s="3" t="str">
        <v/>
      </c>
      <c r="T12" s="3" t="str">
        <v>No</v>
      </c>
      <c r="U12" s="3" t="str">
        <v/>
      </c>
      <c r="V12">
        <v>4</v>
      </c>
      <c r="W12">
        <v>5</v>
      </c>
      <c r="X12">
        <v>4</v>
      </c>
      <c r="Y12">
        <v>4</v>
      </c>
      <c r="Z12">
        <v>5</v>
      </c>
      <c r="AA12">
        <v>4</v>
      </c>
      <c r="AB12">
        <v>4</v>
      </c>
      <c r="AC12">
        <v>5</v>
      </c>
      <c r="AD12">
        <v>4</v>
      </c>
      <c r="AE12">
        <v>4</v>
      </c>
      <c r="AF12">
        <v>5</v>
      </c>
      <c r="AG12">
        <v>3</v>
      </c>
      <c r="AH12">
        <v>5</v>
      </c>
      <c r="AI12">
        <v>4</v>
      </c>
      <c r="AJ12">
        <v>5</v>
      </c>
      <c r="AK12">
        <v>3</v>
      </c>
      <c r="AL12">
        <v>3</v>
      </c>
      <c r="AM12">
        <v>4</v>
      </c>
      <c r="AN12">
        <v>3</v>
      </c>
      <c r="AO12">
        <v>4</v>
      </c>
      <c r="AP12">
        <v>2</v>
      </c>
      <c r="AQ12">
        <v>4</v>
      </c>
      <c r="AR12">
        <v>5</v>
      </c>
      <c r="AS12">
        <v>4</v>
      </c>
      <c r="AT12">
        <v>5</v>
      </c>
      <c r="AU12">
        <v>5</v>
      </c>
      <c r="AV12">
        <v>4</v>
      </c>
      <c r="AW12">
        <v>4</v>
      </c>
      <c r="AX12">
        <v>5</v>
      </c>
      <c r="AY12" s="3" t="str">
        <v/>
      </c>
    </row>
    <row r="13" spans="1:51" ht="30" x14ac:dyDescent="0.25">
      <c r="A13" s="2" t="d">
        <v>2025-06-06T12:51:39.99999983701854825</v>
      </c>
      <c r="B13" s="2" t="d">
        <v>2025-06-06T13:13:32.99999998882412775</v>
      </c>
      <c r="C13" s="2" t="d">
        <v>2025-06-06T13:13:33.71300029568374050</v>
      </c>
      <c r="D13" s="3" t="str">
        <v>R_1pxhkUPBiImXy49</v>
      </c>
      <c r="E13" s="4">
        <v>30</v>
      </c>
      <c r="F13" s="3" t="str">
        <v>Female</v>
      </c>
      <c r="G13" s="3" t="str">
        <v>Right</v>
      </c>
      <c r="H13" s="3" t="str">
        <v>White</v>
      </c>
      <c r="I13" s="5">
        <v>1</v>
      </c>
      <c r="J13" s="5" t="str">
        <v/>
      </c>
      <c r="K13" s="5" t="str">
        <v/>
      </c>
      <c r="L13" s="5">
        <v>0</v>
      </c>
      <c r="M13" s="5">
        <v>0</v>
      </c>
      <c r="N13" s="5">
        <v>0</v>
      </c>
      <c r="O13" s="5">
        <v>0</v>
      </c>
      <c r="P13" s="3" t="str">
        <v>Yes</v>
      </c>
      <c r="Q13" s="3" t="str">
        <v>3-5 hours</v>
      </c>
      <c r="R13" s="3" t="str">
        <v>No</v>
      </c>
      <c r="S13" s="3" t="str">
        <v>&lt;1 hour</v>
      </c>
      <c r="T13" s="3" t="str">
        <v>No</v>
      </c>
      <c r="U13" s="3" t="str">
        <v/>
      </c>
      <c r="V13">
        <v>4</v>
      </c>
      <c r="W13">
        <v>4</v>
      </c>
      <c r="X13">
        <v>4</v>
      </c>
      <c r="Y13">
        <v>3</v>
      </c>
      <c r="Z13">
        <v>4</v>
      </c>
      <c r="AA13">
        <v>4</v>
      </c>
      <c r="AB13">
        <v>4</v>
      </c>
      <c r="AC13">
        <v>5</v>
      </c>
      <c r="AD13">
        <v>5</v>
      </c>
      <c r="AE13">
        <v>4</v>
      </c>
      <c r="AF13">
        <v>5</v>
      </c>
      <c r="AG13">
        <v>5</v>
      </c>
      <c r="AH13">
        <v>5</v>
      </c>
      <c r="AI13">
        <v>5</v>
      </c>
      <c r="AJ13">
        <v>3</v>
      </c>
      <c r="AK13">
        <v>4</v>
      </c>
      <c r="AL13">
        <v>5</v>
      </c>
      <c r="AM13">
        <v>4</v>
      </c>
      <c r="AN13">
        <v>4</v>
      </c>
      <c r="AO13">
        <v>5</v>
      </c>
      <c r="AP13">
        <v>4</v>
      </c>
      <c r="AQ13">
        <v>4</v>
      </c>
      <c r="AR13">
        <v>5</v>
      </c>
      <c r="AS13">
        <v>5</v>
      </c>
      <c r="AT13">
        <v>5</v>
      </c>
      <c r="AU13">
        <v>5</v>
      </c>
      <c r="AV13">
        <v>4</v>
      </c>
      <c r="AW13">
        <v>4</v>
      </c>
      <c r="AX13">
        <v>5</v>
      </c>
      <c r="AY13" s="3" t="str">
        <v/>
      </c>
    </row>
    <row r="14" spans="1:51" ht="60" x14ac:dyDescent="0.25">
      <c r="A14" s="2" t="d">
        <v>2025-06-06T14:13:19.99999988358467925</v>
      </c>
      <c r="B14" s="2" t="d">
        <v>2025-06-06T14:53:44.00000011548399975</v>
      </c>
      <c r="C14" s="2" t="d">
        <v>2025-06-06T14:53:45.63600009307265400</v>
      </c>
      <c r="D14" s="3" t="str">
        <v>R_1iqcLpIrD5JO3Sm</v>
      </c>
      <c r="E14" s="4">
        <v>37</v>
      </c>
      <c r="F14" s="3" t="str">
        <v>Male</v>
      </c>
      <c r="G14" s="3" t="str">
        <v>Left</v>
      </c>
      <c r="H14" s="3" t="str">
        <v>Black or African American</v>
      </c>
      <c r="I14" s="5" t="str">
        <v/>
      </c>
      <c r="J14" s="5" t="str">
        <v/>
      </c>
      <c r="K14" s="5">
        <v>1.5</v>
      </c>
      <c r="L14" s="5">
        <v>550</v>
      </c>
      <c r="M14" s="5">
        <v>3000</v>
      </c>
      <c r="N14" s="5">
        <v>20</v>
      </c>
      <c r="O14" s="5">
        <v>0</v>
      </c>
      <c r="P14" s="3" t="str">
        <v>Yes</v>
      </c>
      <c r="Q14" s="3" t="str">
        <v>1-3 hours</v>
      </c>
      <c r="R14" s="3" t="str">
        <v>No</v>
      </c>
      <c r="S14" s="3" t="str">
        <v/>
      </c>
      <c r="T14" s="3" t="str">
        <v>No</v>
      </c>
      <c r="U14" s="3" t="str">
        <v/>
      </c>
      <c r="V14">
        <v>5</v>
      </c>
      <c r="W14">
        <v>4</v>
      </c>
      <c r="X14">
        <v>3</v>
      </c>
      <c r="Y14">
        <v>4</v>
      </c>
      <c r="Z14">
        <v>3</v>
      </c>
      <c r="AA14">
        <v>4</v>
      </c>
      <c r="AB14">
        <v>3</v>
      </c>
      <c r="AC14">
        <v>4</v>
      </c>
      <c r="AD14">
        <v>4</v>
      </c>
      <c r="AE14">
        <v>3</v>
      </c>
      <c r="AF14">
        <v>4</v>
      </c>
      <c r="AG14">
        <v>4</v>
      </c>
      <c r="AH14">
        <v>3</v>
      </c>
      <c r="AI14">
        <v>3</v>
      </c>
      <c r="AJ14">
        <v>5</v>
      </c>
      <c r="AK14">
        <v>5</v>
      </c>
      <c r="AL14">
        <v>4</v>
      </c>
      <c r="AM14">
        <v>4</v>
      </c>
      <c r="AN14">
        <v>3</v>
      </c>
      <c r="AO14">
        <v>5</v>
      </c>
      <c r="AP14">
        <v>5</v>
      </c>
      <c r="AQ14">
        <v>4</v>
      </c>
      <c r="AR14">
        <v>3</v>
      </c>
      <c r="AS14">
        <v>4</v>
      </c>
      <c r="AT14">
        <v>3</v>
      </c>
      <c r="AU14">
        <v>4</v>
      </c>
      <c r="AV14">
        <v>3</v>
      </c>
      <c r="AW14">
        <v>4</v>
      </c>
      <c r="AX14">
        <v>4</v>
      </c>
      <c r="AY14" s="3" t="str">
        <v>Less sensitive movement of the endoscope, better depth perception</v>
      </c>
    </row>
    <row r="15" spans="1:51" ht="45" x14ac:dyDescent="0.25">
      <c r="A15" s="2" t="d">
        <v>2025-06-06T15:34:29.000000227242708075</v>
      </c>
      <c r="B15" s="2" t="d">
        <v>2025-06-06T16:01:20.00000026077031875</v>
      </c>
      <c r="C15" s="2" t="d">
        <v>2025-06-06T16:01:21.44100029021501700</v>
      </c>
      <c r="D15" s="3" t="str">
        <v>R_7AR4rAcE50b1LFO</v>
      </c>
      <c r="E15" s="4">
        <v>35</v>
      </c>
      <c r="F15" s="3" t="str">
        <v>Male</v>
      </c>
      <c r="G15" s="3" t="str">
        <v>Right</v>
      </c>
      <c r="H15" s="3" t="str">
        <v>White</v>
      </c>
      <c r="I15" s="5">
        <v>2</v>
      </c>
      <c r="J15" s="5" t="str">
        <v/>
      </c>
      <c r="K15" s="5" t="str">
        <v/>
      </c>
      <c r="L15" s="5">
        <v>200</v>
      </c>
      <c r="M15" s="5">
        <v>800</v>
      </c>
      <c r="N15" s="5">
        <v>0</v>
      </c>
      <c r="O15" s="5">
        <v>0</v>
      </c>
      <c r="P15" s="3" t="str">
        <v>No</v>
      </c>
      <c r="Q15" s="3" t="str">
        <v>&lt;1 hour</v>
      </c>
      <c r="R15" s="3" t="str">
        <v>No</v>
      </c>
      <c r="S15" s="3" t="str">
        <v>&lt;1 hour</v>
      </c>
      <c r="T15" s="3" t="str">
        <v>No</v>
      </c>
      <c r="U15" s="3" t="str">
        <v/>
      </c>
      <c r="V15">
        <v>4</v>
      </c>
      <c r="W15">
        <v>3</v>
      </c>
      <c r="X15">
        <v>2</v>
      </c>
      <c r="Y15">
        <v>3</v>
      </c>
      <c r="Z15">
        <v>2</v>
      </c>
      <c r="AA15">
        <v>3</v>
      </c>
      <c r="AB15">
        <v>3</v>
      </c>
      <c r="AC15">
        <v>3</v>
      </c>
      <c r="AD15">
        <v>3</v>
      </c>
      <c r="AE15">
        <v>3</v>
      </c>
      <c r="AF15">
        <v>2</v>
      </c>
      <c r="AG15">
        <v>2</v>
      </c>
      <c r="AH15">
        <v>2</v>
      </c>
      <c r="AI15">
        <v>4</v>
      </c>
      <c r="AJ15">
        <v>1</v>
      </c>
      <c r="AK15">
        <v>2</v>
      </c>
      <c r="AL15">
        <v>3</v>
      </c>
      <c r="AM15">
        <v>2</v>
      </c>
      <c r="AN15">
        <v>4</v>
      </c>
      <c r="AO15">
        <v>2</v>
      </c>
      <c r="AP15">
        <v>5</v>
      </c>
      <c r="AQ15">
        <v>5</v>
      </c>
      <c r="AR15">
        <v>3</v>
      </c>
      <c r="AS15">
        <v>3</v>
      </c>
      <c r="AT15">
        <v>2</v>
      </c>
      <c r="AU15">
        <v>4</v>
      </c>
      <c r="AV15">
        <v>4</v>
      </c>
      <c r="AW15">
        <v>4</v>
      </c>
      <c r="AX15">
        <v>5</v>
      </c>
      <c r="AY15" s="3" t="str">
        <v>Making it so you can't go through the stomach tissue walls - the movement of the insertion tube were very sensitive compared to endoscopy. Otherwise, having an assistant available for which controls to use for which device was very helpful. I'd also have functionality to go back and for from suturing to marking in case there is an issue to avoid having to restart. Thanks so much!</v>
      </c>
    </row>
  </sheetData>
  <pageMargins left="0.7" right="0.7" top="0.75" bottom="0.75" header="0.3" footer="0.3"/>
  <pageSetup orientation="portrait" horizontalDpi="300" verticalDpi="300" r:id="rId1"/>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00583-DDAC-41C1-8EC4-BD0C935D0515}">
  <dimension ref="A1:X15"/>
  <sheetViews>
    <sheetView workbookViewId="0">
      <selection activeCell="Q13" sqref="Q13"/>
    </sheetView>
  </sheetViews>
  <sheetFormatPr defaultRowHeight="15" x14ac:dyDescent="0.25"/>
  <cols>
    <col min="1" max="3" width="15.5703125" bestFit="1" customWidth="1"/>
    <col min="4" max="4" width="20.140625" bestFit="1" customWidth="1"/>
    <col min="5" max="5" width="6" bestFit="1" customWidth="1"/>
    <col min="6" max="6" width="19.7109375" bestFit="1" customWidth="1"/>
    <col min="7" max="7" width="18.42578125" bestFit="1" customWidth="1"/>
    <col min="8" max="8" width="14.28515625" bestFit="1" customWidth="1"/>
    <col min="11" max="11" width="19.42578125" bestFit="1" customWidth="1"/>
  </cols>
  <sheetData>
    <row r="1" spans="1:24" x14ac:dyDescent="0.25">
      <c r="A1" t="str" cm="1">
        <f t="array" ref="A1:D15">survey!A1:D15</f>
        <v>Start Date</v>
      </c>
      <c r="B1" t="str">
        <v>End Date</v>
      </c>
      <c r="C1" t="str">
        <v>Recorded Date</v>
      </c>
      <c r="D1" t="str">
        <v>Response ID</v>
      </c>
      <c r="E1" t="s">
        <v>157</v>
      </c>
      <c r="F1" t="s">
        <v>158</v>
      </c>
      <c r="G1" t="s">
        <v>160</v>
      </c>
      <c r="H1" t="s">
        <v>163</v>
      </c>
      <c r="I1" t="s">
        <v>143</v>
      </c>
      <c r="J1" t="s">
        <v>144</v>
      </c>
      <c r="K1" t="s">
        <v>148</v>
      </c>
      <c r="L1" t="s">
        <v>145</v>
      </c>
      <c r="M1" t="s">
        <v>146</v>
      </c>
      <c r="N1" t="s">
        <v>198</v>
      </c>
      <c r="O1" t="s">
        <v>153</v>
      </c>
      <c r="P1" t="s">
        <v>154</v>
      </c>
      <c r="Q1" t="s">
        <v>155</v>
      </c>
      <c r="R1" t="s">
        <v>147</v>
      </c>
      <c r="S1" t="s">
        <v>186</v>
      </c>
      <c r="T1" t="s">
        <v>192</v>
      </c>
      <c r="U1" t="s">
        <v>149</v>
      </c>
    </row>
    <row r="2" spans="1:24" x14ac:dyDescent="0.25">
      <c r="A2" s="2" t="d">
        <v>2025-06-04T08:22:54.99999976716935850</v>
      </c>
      <c r="B2" s="2" t="d">
        <v>2025-06-04T09:36:56.00000001490116300</v>
      </c>
      <c r="C2" s="2" t="d">
        <v>2025-06-04T09:36:56.94599983748048325</v>
      </c>
      <c r="D2" t="str">
        <v>R_5qVjsvNV1nUQQkF</v>
      </c>
      <c r="E2">
        <v>1</v>
      </c>
      <c r="F2">
        <v>1</v>
      </c>
      <c r="G2" t="s">
        <v>161</v>
      </c>
      <c r="H2" t="s">
        <v>164</v>
      </c>
      <c r="I2" t="s">
        <v>151</v>
      </c>
      <c r="J2" t="s">
        <v>151</v>
      </c>
      <c r="K2" t="s">
        <v>152</v>
      </c>
      <c r="L2" t="s">
        <v>151</v>
      </c>
      <c r="M2" t="s">
        <v>151</v>
      </c>
      <c r="N2" t="s">
        <v>151</v>
      </c>
      <c r="O2">
        <v>2</v>
      </c>
      <c r="P2" t="s">
        <v>150</v>
      </c>
      <c r="Q2">
        <v>1</v>
      </c>
      <c r="R2">
        <v>2</v>
      </c>
      <c r="S2" t="s">
        <v>150</v>
      </c>
      <c r="T2" t="s">
        <v>150</v>
      </c>
      <c r="U2" t="s">
        <v>156</v>
      </c>
    </row>
    <row r="3" spans="1:24" x14ac:dyDescent="0.25">
      <c r="A3" s="2" t="d">
        <v>2025-06-04T08:27:17.000000034458935050</v>
      </c>
      <c r="B3" s="2" t="d">
        <v>2025-06-04T12:17:48.99999969173222925</v>
      </c>
      <c r="C3" s="2" t="d">
        <v>2025-06-04T12:17:49.5770000573247675</v>
      </c>
      <c r="D3" t="str">
        <v>R_5HRCaY9LEPHziQY</v>
      </c>
      <c r="E3">
        <v>1</v>
      </c>
      <c r="F3">
        <v>1</v>
      </c>
      <c r="G3" t="s">
        <v>161</v>
      </c>
      <c r="H3" t="s">
        <v>165</v>
      </c>
      <c r="I3" t="s">
        <v>151</v>
      </c>
      <c r="J3" t="s">
        <v>151</v>
      </c>
      <c r="K3" t="s">
        <v>159</v>
      </c>
      <c r="L3" t="s">
        <v>151</v>
      </c>
      <c r="M3" t="s">
        <v>151</v>
      </c>
      <c r="N3" t="s">
        <v>151</v>
      </c>
      <c r="O3">
        <v>2</v>
      </c>
      <c r="P3" t="s">
        <v>151</v>
      </c>
      <c r="Q3">
        <v>1</v>
      </c>
      <c r="R3">
        <v>2</v>
      </c>
      <c r="S3" t="s">
        <v>150</v>
      </c>
      <c r="T3" t="s">
        <v>150</v>
      </c>
      <c r="U3" s="6" t="s">
        <v>162</v>
      </c>
    </row>
    <row r="4" spans="1:24" x14ac:dyDescent="0.25">
      <c r="A4" s="2" t="d">
        <v>2025-06-04T12:19:01.00000017788261475</v>
      </c>
      <c r="B4" s="2" t="d">
        <v>2025-06-04T12:47:05.00000030267983800</v>
      </c>
      <c r="C4" s="2" t="d">
        <v>2025-06-04T12:47:05.63799975905567175</v>
      </c>
      <c r="D4" t="str">
        <v>R_60OsKhgbCIBwRyd</v>
      </c>
      <c r="E4">
        <v>1</v>
      </c>
      <c r="F4">
        <v>1</v>
      </c>
      <c r="G4" t="s">
        <v>167</v>
      </c>
      <c r="H4" t="s">
        <v>168</v>
      </c>
      <c r="I4" t="s">
        <v>151</v>
      </c>
      <c r="J4" t="s">
        <v>151</v>
      </c>
      <c r="K4" t="s">
        <v>166</v>
      </c>
      <c r="L4" t="s">
        <v>151</v>
      </c>
      <c r="M4" t="s">
        <v>150</v>
      </c>
      <c r="N4" t="s">
        <v>150</v>
      </c>
      <c r="O4">
        <v>0</v>
      </c>
      <c r="P4" t="s">
        <v>151</v>
      </c>
      <c r="Q4">
        <v>0</v>
      </c>
      <c r="R4">
        <v>0</v>
      </c>
      <c r="S4" t="s">
        <v>150</v>
      </c>
      <c r="T4" t="s">
        <v>150</v>
      </c>
      <c r="U4" s="6" t="s">
        <v>169</v>
      </c>
    </row>
    <row r="5" spans="1:24" x14ac:dyDescent="0.25">
      <c r="A5" s="2" t="d">
        <v>2025-06-04T11:13:03.99999991524964725</v>
      </c>
      <c r="B5" s="2" t="d">
        <v>2025-06-04T13:27:27.00000006705522675</v>
      </c>
      <c r="C5" s="2" t="d">
        <v>2025-06-04T13:27:27.46100013144314400</v>
      </c>
      <c r="D5" t="str">
        <v>R_5mSw8HPevBLdV4d</v>
      </c>
      <c r="E5">
        <v>2</v>
      </c>
      <c r="F5">
        <v>1</v>
      </c>
      <c r="G5" t="s">
        <v>171</v>
      </c>
      <c r="I5" t="s">
        <v>151</v>
      </c>
      <c r="J5" t="s">
        <v>151</v>
      </c>
      <c r="K5" t="s">
        <v>170</v>
      </c>
      <c r="L5" t="s">
        <v>151</v>
      </c>
      <c r="M5" t="s">
        <v>151</v>
      </c>
      <c r="N5" t="s">
        <v>151</v>
      </c>
      <c r="O5">
        <v>4</v>
      </c>
      <c r="P5" t="s">
        <v>150</v>
      </c>
      <c r="R5">
        <v>3</v>
      </c>
      <c r="S5" t="s">
        <v>151</v>
      </c>
      <c r="T5" t="s">
        <v>193</v>
      </c>
      <c r="U5" s="6" t="s">
        <v>172</v>
      </c>
    </row>
    <row r="6" spans="1:24" x14ac:dyDescent="0.25">
      <c r="A6" s="2" t="d">
        <v>2025-06-04T13:48:26.00000016856938450</v>
      </c>
      <c r="B6" s="2" t="d">
        <v>2025-06-04T14:25:22.99999978858977525</v>
      </c>
      <c r="C6" s="2" t="d">
        <v>2025-06-04T14:25:24.26600013859569900</v>
      </c>
      <c r="D6" t="str">
        <v>R_3do5dDARlTtFow2</v>
      </c>
      <c r="E6">
        <v>2</v>
      </c>
      <c r="F6">
        <v>1</v>
      </c>
      <c r="G6" t="s">
        <v>176</v>
      </c>
      <c r="H6" t="s">
        <v>164</v>
      </c>
      <c r="I6" t="s">
        <v>151</v>
      </c>
      <c r="J6" t="s">
        <v>151</v>
      </c>
      <c r="K6" t="s">
        <v>174</v>
      </c>
      <c r="L6" t="s">
        <v>151</v>
      </c>
      <c r="M6" t="s">
        <v>151</v>
      </c>
      <c r="N6" t="s">
        <v>151</v>
      </c>
      <c r="O6">
        <v>3</v>
      </c>
      <c r="P6" t="s">
        <v>151</v>
      </c>
      <c r="R6">
        <v>2</v>
      </c>
      <c r="S6" t="s">
        <v>151</v>
      </c>
      <c r="T6" t="s">
        <v>150</v>
      </c>
      <c r="U6" s="6" t="s">
        <v>178</v>
      </c>
    </row>
    <row r="7" spans="1:24" x14ac:dyDescent="0.25">
      <c r="A7" s="2" t="d">
        <v>2025-06-05T07:58:04.00000012479722325</v>
      </c>
      <c r="B7" s="2" t="d">
        <v>2025-06-05T08:40:28.99999972432851825</v>
      </c>
      <c r="C7" s="2" t="d">
        <v>2025-06-05T08:40:29.60600000806152975</v>
      </c>
      <c r="D7" t="str">
        <v>R_3NQyd680PZZcMFY</v>
      </c>
      <c r="E7">
        <v>1</v>
      </c>
      <c r="F7">
        <v>1</v>
      </c>
      <c r="G7" t="s">
        <v>171</v>
      </c>
      <c r="I7" t="s">
        <v>151</v>
      </c>
      <c r="J7" t="s">
        <v>151</v>
      </c>
      <c r="K7" t="s">
        <v>179</v>
      </c>
      <c r="L7" t="s">
        <v>150</v>
      </c>
      <c r="N7" t="s">
        <v>150</v>
      </c>
      <c r="O7">
        <v>3</v>
      </c>
      <c r="P7" t="s">
        <v>151</v>
      </c>
      <c r="Q7">
        <v>1</v>
      </c>
      <c r="R7">
        <v>2</v>
      </c>
      <c r="S7" t="s">
        <v>150</v>
      </c>
      <c r="T7" t="s">
        <v>193</v>
      </c>
      <c r="U7" s="6" t="s">
        <v>181</v>
      </c>
    </row>
    <row r="8" spans="1:24" x14ac:dyDescent="0.25">
      <c r="A8" s="2" t="d">
        <v>2025-06-05T14:50:44.99999976251274675</v>
      </c>
      <c r="B8" s="2" t="d">
        <v>2025-06-05T15:29:44.00000024121254400</v>
      </c>
      <c r="C8" s="2" t="d">
        <v>2025-06-05T15:29:45.1790002081543200</v>
      </c>
      <c r="D8" t="str">
        <v>R_3Hkd05oftH0A6pH</v>
      </c>
      <c r="E8">
        <v>1</v>
      </c>
      <c r="F8">
        <v>1</v>
      </c>
      <c r="G8" t="s">
        <v>171</v>
      </c>
      <c r="I8" t="s">
        <v>151</v>
      </c>
      <c r="J8" t="s">
        <v>151</v>
      </c>
      <c r="K8" t="s">
        <v>182</v>
      </c>
      <c r="L8" t="s">
        <v>151</v>
      </c>
      <c r="M8" t="s">
        <v>151</v>
      </c>
      <c r="N8" t="s">
        <v>151</v>
      </c>
      <c r="O8">
        <v>3</v>
      </c>
      <c r="P8" t="s">
        <v>151</v>
      </c>
      <c r="Q8">
        <v>0</v>
      </c>
      <c r="R8">
        <v>3</v>
      </c>
      <c r="S8" t="s">
        <v>150</v>
      </c>
      <c r="T8" t="s">
        <v>193</v>
      </c>
      <c r="U8" s="6" t="s">
        <v>183</v>
      </c>
    </row>
    <row r="9" spans="1:24" x14ac:dyDescent="0.25">
      <c r="A9" s="2" t="d">
        <v>2025-06-05T15:38:42.00000027660280275</v>
      </c>
      <c r="B9" s="2" t="d">
        <v>2025-06-05T15:56:56.999999759718775650</v>
      </c>
      <c r="C9" s="2" t="d">
        <v>2025-06-05T15:56:58.388999719172715825</v>
      </c>
      <c r="D9" t="str">
        <v>R_79nPOftvEFuZG7H</v>
      </c>
      <c r="E9">
        <v>1</v>
      </c>
      <c r="F9">
        <v>1</v>
      </c>
      <c r="G9" t="s">
        <v>171</v>
      </c>
      <c r="I9" t="s">
        <v>150</v>
      </c>
      <c r="K9" t="s">
        <v>184</v>
      </c>
      <c r="L9" t="s">
        <v>150</v>
      </c>
      <c r="N9" t="s">
        <v>151</v>
      </c>
      <c r="O9">
        <v>3</v>
      </c>
      <c r="P9" t="s">
        <v>151</v>
      </c>
      <c r="Q9">
        <v>3</v>
      </c>
      <c r="R9">
        <v>0</v>
      </c>
      <c r="S9" t="s">
        <v>150</v>
      </c>
      <c r="T9" t="s">
        <v>193</v>
      </c>
      <c r="U9" s="6" t="s">
        <v>185</v>
      </c>
    </row>
    <row r="10" spans="1:24" x14ac:dyDescent="0.25">
      <c r="A10" s="2" t="d">
        <v>2025-06-05T15:57:13.999999961815774200</v>
      </c>
      <c r="B10" s="2" t="d">
        <v>2025-06-05T16:29:40.99999995902180850</v>
      </c>
      <c r="C10" s="2" t="d">
        <v>2025-06-05T16:29:41.93599996156990200</v>
      </c>
      <c r="D10" t="str">
        <v>R_32xqPOxwfN2c99H</v>
      </c>
      <c r="E10">
        <v>4</v>
      </c>
      <c r="F10">
        <v>2</v>
      </c>
      <c r="G10" t="s">
        <v>171</v>
      </c>
      <c r="I10" t="s">
        <v>151</v>
      </c>
      <c r="J10" t="s">
        <v>151</v>
      </c>
      <c r="K10" t="s">
        <v>187</v>
      </c>
      <c r="L10" t="s">
        <v>150</v>
      </c>
      <c r="N10" t="s">
        <v>151</v>
      </c>
      <c r="O10">
        <v>5</v>
      </c>
      <c r="P10" t="s">
        <v>151</v>
      </c>
      <c r="R10">
        <v>3</v>
      </c>
      <c r="S10" t="s">
        <v>150</v>
      </c>
      <c r="T10" t="s">
        <v>193</v>
      </c>
      <c r="U10" s="6" t="s">
        <v>188</v>
      </c>
    </row>
    <row r="11" spans="1:24" x14ac:dyDescent="0.25">
      <c r="A11" s="2" t="d">
        <v>2025-06-06T09:53:35.99999992176890100</v>
      </c>
      <c r="B11" s="2" t="d">
        <v>2025-06-06T10:24:54.99999973922968125</v>
      </c>
      <c r="C11" s="2" t="d">
        <v>2025-06-06T10:24:56.10999987926334225</v>
      </c>
      <c r="D11" t="str">
        <v>R_31iOAJPZHN3HzBN</v>
      </c>
      <c r="E11">
        <v>1</v>
      </c>
      <c r="F11">
        <v>1</v>
      </c>
      <c r="G11" t="s">
        <v>161</v>
      </c>
      <c r="H11" t="s">
        <v>190</v>
      </c>
      <c r="I11" t="s">
        <v>151</v>
      </c>
      <c r="J11" t="s">
        <v>151</v>
      </c>
      <c r="K11" t="s">
        <v>189</v>
      </c>
      <c r="L11" t="s">
        <v>150</v>
      </c>
      <c r="N11" t="s">
        <v>150</v>
      </c>
      <c r="O11">
        <v>1</v>
      </c>
      <c r="P11" t="s">
        <v>151</v>
      </c>
      <c r="Q11">
        <v>0</v>
      </c>
      <c r="R11">
        <v>0</v>
      </c>
      <c r="S11" t="s">
        <v>150</v>
      </c>
      <c r="T11" t="s">
        <v>150</v>
      </c>
      <c r="U11" s="6" t="s">
        <v>191</v>
      </c>
    </row>
    <row r="12" spans="1:24" x14ac:dyDescent="0.25">
      <c r="A12" s="2" t="d">
        <v>2025-06-06T12:00:44.99999983236193650</v>
      </c>
      <c r="B12" s="2" t="d">
        <v>2025-06-06T12:51:15.0000002793967725</v>
      </c>
      <c r="C12" s="2" t="d">
        <v>2025-06-06T12:51:16.04099996387958375</v>
      </c>
      <c r="D12" t="str">
        <v>R_5fW7FlSpdkUrMsx</v>
      </c>
      <c r="E12">
        <v>2</v>
      </c>
      <c r="F12">
        <v>1</v>
      </c>
      <c r="G12" t="s">
        <v>176</v>
      </c>
      <c r="H12" t="s">
        <v>165</v>
      </c>
      <c r="I12" t="s">
        <v>150</v>
      </c>
      <c r="K12" t="s">
        <v>194</v>
      </c>
      <c r="L12" t="s">
        <v>150</v>
      </c>
      <c r="N12" t="s">
        <v>151</v>
      </c>
      <c r="O12">
        <v>3</v>
      </c>
      <c r="P12" t="s">
        <v>151</v>
      </c>
      <c r="Q12">
        <v>0</v>
      </c>
      <c r="R12">
        <v>1</v>
      </c>
      <c r="S12" t="s">
        <v>151</v>
      </c>
      <c r="T12" t="s">
        <v>150</v>
      </c>
      <c r="U12" s="6" t="s">
        <v>195</v>
      </c>
    </row>
    <row r="13" spans="1:24" x14ac:dyDescent="0.25">
      <c r="A13" s="2" t="d">
        <v>2025-06-06T12:51:39.99999983701854825</v>
      </c>
      <c r="B13" s="2" t="d">
        <v>2025-06-06T13:13:32.99999998882412775</v>
      </c>
      <c r="C13" s="2" t="d">
        <v>2025-06-06T13:13:33.71300029568374050</v>
      </c>
      <c r="D13" t="str">
        <v>R_1pxhkUPBiImXy49</v>
      </c>
      <c r="E13">
        <v>2</v>
      </c>
      <c r="F13">
        <v>2</v>
      </c>
      <c r="G13" t="s">
        <v>171</v>
      </c>
      <c r="I13" t="s">
        <v>151</v>
      </c>
      <c r="J13" t="s">
        <v>151</v>
      </c>
      <c r="K13" t="s">
        <v>197</v>
      </c>
      <c r="L13" t="s">
        <v>150</v>
      </c>
      <c r="N13" t="s">
        <v>150</v>
      </c>
      <c r="O13">
        <v>3</v>
      </c>
      <c r="P13" t="s">
        <v>151</v>
      </c>
      <c r="Q13">
        <v>1</v>
      </c>
      <c r="R13">
        <v>1</v>
      </c>
      <c r="S13" t="s">
        <v>151</v>
      </c>
      <c r="T13" t="s">
        <v>200</v>
      </c>
      <c r="U13" s="6" t="s">
        <v>199</v>
      </c>
    </row>
    <row r="14" spans="1:24" x14ac:dyDescent="0.25">
      <c r="A14" s="2" t="d">
        <v>2025-06-06T14:13:19.99999988358467925</v>
      </c>
      <c r="B14" s="2" t="d">
        <v>2025-06-06T14:53:44.00000011548399975</v>
      </c>
      <c r="C14" s="2" t="d">
        <v>2025-06-06T14:53:45.63600009307265400</v>
      </c>
      <c r="D14" t="str">
        <v>R_1iqcLpIrD5JO3Sm</v>
      </c>
      <c r="E14">
        <v>3</v>
      </c>
      <c r="F14">
        <v>2</v>
      </c>
      <c r="G14" t="s">
        <v>176</v>
      </c>
      <c r="H14" t="s">
        <v>203</v>
      </c>
      <c r="I14" t="s">
        <v>150</v>
      </c>
      <c r="K14" t="s">
        <v>201</v>
      </c>
      <c r="L14" t="s">
        <v>150</v>
      </c>
      <c r="N14" t="s">
        <v>151</v>
      </c>
      <c r="O14">
        <v>2</v>
      </c>
      <c r="P14" t="s">
        <v>151</v>
      </c>
      <c r="Q14">
        <v>2</v>
      </c>
      <c r="R14">
        <v>1</v>
      </c>
      <c r="S14" t="s">
        <v>151</v>
      </c>
      <c r="T14" t="s">
        <v>150</v>
      </c>
      <c r="U14" s="6" t="s">
        <v>202</v>
      </c>
      <c r="X14" s="6"/>
    </row>
    <row r="15" spans="1:24" x14ac:dyDescent="0.25">
      <c r="A15" s="2" t="d">
        <v>2025-06-06T15:34:29.000000227242708075</v>
      </c>
      <c r="B15" s="2" t="d">
        <v>2025-06-06T16:01:20.00000026077031875</v>
      </c>
      <c r="C15" s="2" t="d">
        <v>2025-06-06T16:01:21.44100029021501700</v>
      </c>
      <c r="D15" t="str">
        <v>R_7AR4rAcE50b1LFO</v>
      </c>
      <c r="E15">
        <v>3</v>
      </c>
      <c r="F15">
        <v>2</v>
      </c>
      <c r="G15" t="s">
        <v>171</v>
      </c>
      <c r="I15" t="s">
        <v>151</v>
      </c>
      <c r="J15" t="s">
        <v>151</v>
      </c>
      <c r="K15" t="s">
        <v>205</v>
      </c>
      <c r="L15" t="s">
        <v>151</v>
      </c>
      <c r="M15" t="s">
        <v>151</v>
      </c>
      <c r="N15" t="s">
        <v>151</v>
      </c>
      <c r="O15">
        <v>2</v>
      </c>
      <c r="P15" t="s">
        <v>151</v>
      </c>
      <c r="R15">
        <v>2</v>
      </c>
      <c r="S15" t="s">
        <v>151</v>
      </c>
      <c r="T15" t="s">
        <v>193</v>
      </c>
      <c r="U15" s="6" t="s">
        <v>206</v>
      </c>
      <c r="X15" s="6"/>
    </row>
  </sheetData>
  <pageMargins left="0.7" right="0.7" top="0.75" bottom="0.75" header="0.3" footer="0.3"/>
  <pageSetup orientation="portrait" r:id="rId1"/>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2FF1-251F-48AE-AFF3-4C2701773DD2}">
  <dimension ref="A1:X15"/>
  <sheetViews>
    <sheetView topLeftCell="B1" zoomScaleNormal="100" workbookViewId="0">
      <selection activeCell="G18" sqref="G18"/>
    </sheetView>
  </sheetViews>
  <sheetFormatPr defaultRowHeight="15" x14ac:dyDescent="0.25"/>
  <cols>
    <col min="1" max="3" width="15.5703125" bestFit="1" customWidth="1"/>
    <col min="4" max="4" width="20.140625" bestFit="1" customWidth="1"/>
    <col min="5" max="5" width="6" bestFit="1" customWidth="1"/>
    <col min="6" max="6" width="19.7109375" bestFit="1" customWidth="1"/>
    <col min="7" max="7" width="18.42578125" bestFit="1" customWidth="1"/>
    <col min="8" max="8" width="14.28515625" bestFit="1" customWidth="1"/>
    <col min="11" max="12" width="19.42578125" bestFit="1" customWidth="1"/>
  </cols>
  <sheetData>
    <row r="1" spans="1:24" x14ac:dyDescent="0.25">
      <c r="A1" t="str" cm="1">
        <f t="array" ref="A1:D15">survey!A1:D15</f>
        <v>Start Date</v>
      </c>
      <c r="B1" t="str">
        <v>End Date</v>
      </c>
      <c r="C1" t="str">
        <v>Recorded Date</v>
      </c>
      <c r="D1" t="str">
        <v>Response ID</v>
      </c>
      <c r="E1" t="s">
        <v>157</v>
      </c>
      <c r="F1" t="s">
        <v>158</v>
      </c>
      <c r="G1" t="s">
        <v>160</v>
      </c>
      <c r="H1" t="s">
        <v>163</v>
      </c>
      <c r="I1" t="s">
        <v>143</v>
      </c>
      <c r="J1" t="s">
        <v>144</v>
      </c>
      <c r="K1" t="s">
        <v>211</v>
      </c>
      <c r="L1" t="s">
        <v>148</v>
      </c>
      <c r="M1" t="s">
        <v>145</v>
      </c>
      <c r="N1" t="s">
        <v>146</v>
      </c>
      <c r="O1" t="s">
        <v>198</v>
      </c>
      <c r="P1" t="s">
        <v>153</v>
      </c>
      <c r="Q1" t="s">
        <v>154</v>
      </c>
      <c r="R1" t="s">
        <v>155</v>
      </c>
      <c r="S1" t="s">
        <v>147</v>
      </c>
      <c r="T1" t="s">
        <v>186</v>
      </c>
      <c r="U1" t="s">
        <v>192</v>
      </c>
      <c r="V1" t="s">
        <v>149</v>
      </c>
    </row>
    <row r="2" spans="1:24" x14ac:dyDescent="0.25">
      <c r="A2" s="2" t="d">
        <v>2025-06-04T08:22:54.99999976716935850</v>
      </c>
      <c r="B2" s="2" t="d">
        <v>2025-06-04T09:36:56.00000001490116300</v>
      </c>
      <c r="C2" s="2" t="d">
        <v>2025-06-04T09:36:56.94599983748048325</v>
      </c>
      <c r="D2" t="str">
        <v>R_5qVjsvNV1nUQQkF</v>
      </c>
      <c r="E2">
        <v>1</v>
      </c>
      <c r="F2">
        <v>1</v>
      </c>
      <c r="G2" t="s">
        <v>161</v>
      </c>
      <c r="H2" t="s">
        <v>164</v>
      </c>
      <c r="I2" t="s">
        <v>151</v>
      </c>
      <c r="J2" t="s">
        <v>151</v>
      </c>
      <c r="K2" t="s">
        <v>213</v>
      </c>
      <c r="L2">
        <f>180+49.442-2.635</f>
        <v>226.80700000000002</v>
      </c>
      <c r="M2" t="s">
        <v>151</v>
      </c>
      <c r="N2" t="s">
        <v>151</v>
      </c>
      <c r="O2" t="s">
        <v>151</v>
      </c>
      <c r="P2">
        <v>2</v>
      </c>
      <c r="Q2" t="s">
        <v>150</v>
      </c>
      <c r="R2">
        <v>1</v>
      </c>
      <c r="S2">
        <v>2</v>
      </c>
      <c r="T2" t="s">
        <v>150</v>
      </c>
      <c r="U2" t="s">
        <v>150</v>
      </c>
      <c r="V2">
        <f>540+19.083-180-49.442</f>
        <v>329.64099999999996</v>
      </c>
    </row>
    <row r="3" spans="1:24" x14ac:dyDescent="0.25">
      <c r="A3" s="2" t="d">
        <v>2025-06-04T08:27:17.000000034458935050</v>
      </c>
      <c r="B3" s="2" t="d">
        <v>2025-06-04T12:17:48.99999969173222925</v>
      </c>
      <c r="C3" s="2" t="d">
        <v>2025-06-04T12:17:49.5770000573247675</v>
      </c>
      <c r="D3" t="str">
        <v>R_5HRCaY9LEPHziQY</v>
      </c>
      <c r="E3">
        <v>1</v>
      </c>
      <c r="F3">
        <v>1</v>
      </c>
      <c r="G3" t="s">
        <v>161</v>
      </c>
      <c r="H3" t="s">
        <v>165</v>
      </c>
      <c r="I3" t="s">
        <v>151</v>
      </c>
      <c r="J3" t="s">
        <v>151</v>
      </c>
      <c r="K3" t="s">
        <v>212</v>
      </c>
      <c r="L3">
        <f>540+22.253-3.202</f>
        <v>559.05100000000004</v>
      </c>
      <c r="M3" t="s">
        <v>151</v>
      </c>
      <c r="N3" t="s">
        <v>151</v>
      </c>
      <c r="O3" t="s">
        <v>151</v>
      </c>
      <c r="P3">
        <v>2</v>
      </c>
      <c r="Q3" t="s">
        <v>151</v>
      </c>
      <c r="R3">
        <v>1</v>
      </c>
      <c r="S3">
        <v>2</v>
      </c>
      <c r="T3" t="s">
        <v>150</v>
      </c>
      <c r="U3" t="s">
        <v>150</v>
      </c>
      <c r="V3">
        <f>(16*60)+35.7-540-22.253</f>
        <v>433.44700000000006</v>
      </c>
    </row>
    <row r="4" spans="1:24" x14ac:dyDescent="0.25">
      <c r="A4" s="2" t="d">
        <v>2025-06-04T12:19:01.00000017788261475</v>
      </c>
      <c r="B4" s="2" t="d">
        <v>2025-06-04T12:47:05.00000030267983800</v>
      </c>
      <c r="C4" s="2" t="d">
        <v>2025-06-04T12:47:05.63799975905567175</v>
      </c>
      <c r="D4" t="str">
        <v>R_60OsKhgbCIBwRyd</v>
      </c>
      <c r="E4">
        <v>1</v>
      </c>
      <c r="F4">
        <v>1</v>
      </c>
      <c r="G4" t="s">
        <v>167</v>
      </c>
      <c r="H4" t="s">
        <v>168</v>
      </c>
      <c r="I4" t="s">
        <v>151</v>
      </c>
      <c r="J4" t="s">
        <v>151</v>
      </c>
      <c r="K4" t="s">
        <v>212</v>
      </c>
      <c r="L4">
        <f>540+57.677-2.335</f>
        <v>595.34199999999998</v>
      </c>
      <c r="M4" t="s">
        <v>151</v>
      </c>
      <c r="N4" t="s">
        <v>150</v>
      </c>
      <c r="O4" t="s">
        <v>150</v>
      </c>
      <c r="P4">
        <v>0</v>
      </c>
      <c r="Q4" t="s">
        <v>151</v>
      </c>
      <c r="R4">
        <v>0</v>
      </c>
      <c r="S4">
        <v>0</v>
      </c>
      <c r="T4" t="s">
        <v>150</v>
      </c>
      <c r="U4" t="s">
        <v>150</v>
      </c>
      <c r="V4">
        <f>(14*60)+41.172-540-57.677</f>
        <v>283.495</v>
      </c>
    </row>
    <row r="5" spans="1:24" x14ac:dyDescent="0.25">
      <c r="A5" s="2" t="d">
        <v>2025-06-04T11:13:03.99999991524964725</v>
      </c>
      <c r="B5" s="2" t="d">
        <v>2025-06-04T13:27:27.00000006705522675</v>
      </c>
      <c r="C5" s="2" t="d">
        <v>2025-06-04T13:27:27.46100013144314400</v>
      </c>
      <c r="D5" t="str">
        <v>R_5mSw8HPevBLdV4d</v>
      </c>
      <c r="E5">
        <v>2</v>
      </c>
      <c r="F5">
        <v>1</v>
      </c>
      <c r="G5" t="s">
        <v>171</v>
      </c>
      <c r="I5" t="s">
        <v>151</v>
      </c>
      <c r="J5" t="s">
        <v>151</v>
      </c>
      <c r="K5" t="s">
        <v>213</v>
      </c>
      <c r="L5">
        <f>180+18.87-3.402</f>
        <v>195.46800000000002</v>
      </c>
      <c r="M5" t="s">
        <v>151</v>
      </c>
      <c r="N5" t="s">
        <v>151</v>
      </c>
      <c r="O5" t="s">
        <v>151</v>
      </c>
      <c r="P5">
        <v>4</v>
      </c>
      <c r="Q5" t="s">
        <v>150</v>
      </c>
      <c r="S5">
        <v>3</v>
      </c>
      <c r="T5" t="s">
        <v>151</v>
      </c>
      <c r="U5" t="s">
        <v>193</v>
      </c>
      <c r="V5">
        <f>540+57.66</f>
        <v>597.66</v>
      </c>
    </row>
    <row r="6" spans="1:24" x14ac:dyDescent="0.25">
      <c r="A6" s="2" t="d">
        <v>2025-06-04T13:48:26.00000016856938450</v>
      </c>
      <c r="B6" s="2" t="d">
        <v>2025-06-04T14:25:22.99999978858977525</v>
      </c>
      <c r="C6" s="2" t="d">
        <v>2025-06-04T14:25:24.26600013859569900</v>
      </c>
      <c r="D6" t="str">
        <v>R_3do5dDARlTtFow2</v>
      </c>
      <c r="E6">
        <v>2</v>
      </c>
      <c r="F6">
        <v>1</v>
      </c>
      <c r="G6" t="s">
        <v>176</v>
      </c>
      <c r="H6" t="s">
        <v>164</v>
      </c>
      <c r="I6" t="s">
        <v>151</v>
      </c>
      <c r="J6" t="s">
        <v>151</v>
      </c>
      <c r="K6" t="s">
        <v>213</v>
      </c>
      <c r="L6">
        <f>240+41.443-3.687</f>
        <v>277.75599999999997</v>
      </c>
      <c r="M6" t="s">
        <v>151</v>
      </c>
      <c r="N6" t="s">
        <v>151</v>
      </c>
      <c r="O6" t="s">
        <v>151</v>
      </c>
      <c r="P6">
        <v>3</v>
      </c>
      <c r="Q6" t="s">
        <v>151</v>
      </c>
      <c r="S6">
        <v>2</v>
      </c>
      <c r="T6" t="s">
        <v>151</v>
      </c>
      <c r="U6" t="s">
        <v>150</v>
      </c>
      <c r="V6">
        <f>(22*60)+25.923-540-40.532</f>
        <v>765.39099999999996</v>
      </c>
    </row>
    <row r="7" spans="1:24" x14ac:dyDescent="0.25">
      <c r="A7" s="2" t="d">
        <v>2025-06-05T07:58:04.00000012479722325</v>
      </c>
      <c r="B7" s="2" t="d">
        <v>2025-06-05T08:40:28.99999972432851825</v>
      </c>
      <c r="C7" s="2" t="d">
        <v>2025-06-05T08:40:29.60600000806152975</v>
      </c>
      <c r="D7" t="str">
        <v>R_3NQyd680PZZcMFY</v>
      </c>
      <c r="E7">
        <v>1</v>
      </c>
      <c r="F7">
        <v>1</v>
      </c>
      <c r="G7" t="s">
        <v>171</v>
      </c>
      <c r="I7" t="s">
        <v>151</v>
      </c>
      <c r="J7" t="s">
        <v>151</v>
      </c>
      <c r="K7" t="s">
        <v>213</v>
      </c>
      <c r="L7">
        <f>240+19.662</f>
        <v>259.66199999999998</v>
      </c>
      <c r="M7" t="s">
        <v>150</v>
      </c>
      <c r="O7" t="s">
        <v>150</v>
      </c>
      <c r="P7">
        <v>3</v>
      </c>
      <c r="Q7" t="s">
        <v>151</v>
      </c>
      <c r="R7">
        <v>1</v>
      </c>
      <c r="S7">
        <v>2</v>
      </c>
      <c r="T7" t="s">
        <v>150</v>
      </c>
      <c r="U7" t="s">
        <v>193</v>
      </c>
      <c r="V7">
        <f>(14*60)+38.937-240-29.052</f>
        <v>609.88499999999999</v>
      </c>
    </row>
    <row r="8" spans="1:24" x14ac:dyDescent="0.25">
      <c r="A8" s="2" t="d">
        <v>2025-06-05T14:50:44.99999976251274675</v>
      </c>
      <c r="B8" s="2" t="d">
        <v>2025-06-05T15:29:44.00000024121254400</v>
      </c>
      <c r="C8" s="2" t="d">
        <v>2025-06-05T15:29:45.1790002081543200</v>
      </c>
      <c r="D8" t="str">
        <v>R_3Hkd05oftH0A6pH</v>
      </c>
      <c r="E8">
        <v>1</v>
      </c>
      <c r="F8">
        <v>1</v>
      </c>
      <c r="G8" t="s">
        <v>171</v>
      </c>
      <c r="I8" t="s">
        <v>151</v>
      </c>
      <c r="J8" t="s">
        <v>151</v>
      </c>
      <c r="K8" t="s">
        <v>214</v>
      </c>
      <c r="L8">
        <f>120+50.267</f>
        <v>170.267</v>
      </c>
      <c r="M8" t="s">
        <v>151</v>
      </c>
      <c r="N8" t="s">
        <v>151</v>
      </c>
      <c r="O8" t="s">
        <v>151</v>
      </c>
      <c r="P8">
        <v>3</v>
      </c>
      <c r="Q8" t="s">
        <v>151</v>
      </c>
      <c r="R8">
        <v>0</v>
      </c>
      <c r="S8">
        <v>3</v>
      </c>
      <c r="T8" t="s">
        <v>150</v>
      </c>
      <c r="U8" t="s">
        <v>193</v>
      </c>
      <c r="V8">
        <f>660+19.417-120-50.267</f>
        <v>509.15000000000003</v>
      </c>
    </row>
    <row r="9" spans="1:24" x14ac:dyDescent="0.25">
      <c r="A9" s="2" t="d">
        <v>2025-06-05T15:38:42.00000027660280275</v>
      </c>
      <c r="B9" s="2" t="d">
        <v>2025-06-05T15:56:56.999999759718775650</v>
      </c>
      <c r="C9" s="2" t="d">
        <v>2025-06-05T15:56:58.388999719172715825</v>
      </c>
      <c r="D9" t="str">
        <v>R_79nPOftvEFuZG7H</v>
      </c>
      <c r="E9">
        <v>1</v>
      </c>
      <c r="F9">
        <v>1</v>
      </c>
      <c r="G9" t="s">
        <v>171</v>
      </c>
      <c r="I9" t="s">
        <v>150</v>
      </c>
      <c r="K9" t="s">
        <v>212</v>
      </c>
      <c r="L9">
        <f>120+31.237-11.508</f>
        <v>139.72899999999998</v>
      </c>
      <c r="M9" t="s">
        <v>150</v>
      </c>
      <c r="O9" t="s">
        <v>151</v>
      </c>
      <c r="P9">
        <v>3</v>
      </c>
      <c r="Q9" t="s">
        <v>151</v>
      </c>
      <c r="R9">
        <v>3</v>
      </c>
      <c r="S9">
        <v>0</v>
      </c>
      <c r="T9" t="s">
        <v>150</v>
      </c>
      <c r="U9" t="s">
        <v>193</v>
      </c>
      <c r="V9">
        <f>420+22.803-120-31.237</f>
        <v>291.56599999999997</v>
      </c>
    </row>
    <row r="10" spans="1:24" x14ac:dyDescent="0.25">
      <c r="A10" s="2" t="d">
        <v>2025-06-05T15:57:13.999999961815774200</v>
      </c>
      <c r="B10" s="2" t="d">
        <v>2025-06-05T16:29:40.99999995902180850</v>
      </c>
      <c r="C10" s="2" t="d">
        <v>2025-06-05T16:29:41.93599996156990200</v>
      </c>
      <c r="D10" t="str">
        <v>R_32xqPOxwfN2c99H</v>
      </c>
      <c r="E10">
        <v>4</v>
      </c>
      <c r="F10">
        <v>2</v>
      </c>
      <c r="G10" t="s">
        <v>171</v>
      </c>
      <c r="I10" t="s">
        <v>151</v>
      </c>
      <c r="J10" t="s">
        <v>151</v>
      </c>
      <c r="K10" t="s">
        <v>215</v>
      </c>
      <c r="L10">
        <f>60+20.872-5.12</f>
        <v>75.751999999999995</v>
      </c>
      <c r="M10" t="s">
        <v>150</v>
      </c>
      <c r="O10" t="s">
        <v>151</v>
      </c>
      <c r="P10">
        <v>5</v>
      </c>
      <c r="Q10" t="s">
        <v>151</v>
      </c>
      <c r="S10">
        <v>3</v>
      </c>
      <c r="T10" t="s">
        <v>150</v>
      </c>
      <c r="U10" t="s">
        <v>193</v>
      </c>
      <c r="V10">
        <f>240+45.012-17.012</f>
        <v>268</v>
      </c>
    </row>
    <row r="11" spans="1:24" x14ac:dyDescent="0.25">
      <c r="A11" s="2" t="d">
        <v>2025-06-06T09:53:35.99999992176890100</v>
      </c>
      <c r="B11" s="2" t="d">
        <v>2025-06-06T10:24:54.99999973922968125</v>
      </c>
      <c r="C11" s="2" t="d">
        <v>2025-06-06T10:24:56.10999987926334225</v>
      </c>
      <c r="D11" t="str">
        <v>R_31iOAJPZHN3HzBN</v>
      </c>
      <c r="E11">
        <v>1</v>
      </c>
      <c r="F11">
        <v>1</v>
      </c>
      <c r="G11" t="s">
        <v>161</v>
      </c>
      <c r="H11" t="s">
        <v>190</v>
      </c>
      <c r="I11" t="s">
        <v>151</v>
      </c>
      <c r="J11" t="s">
        <v>151</v>
      </c>
      <c r="K11" t="s">
        <v>213</v>
      </c>
      <c r="L11">
        <f>240+54.535-3.502</f>
        <v>291.03299999999996</v>
      </c>
      <c r="M11" t="s">
        <v>150</v>
      </c>
      <c r="O11" t="s">
        <v>150</v>
      </c>
      <c r="P11">
        <v>1</v>
      </c>
      <c r="Q11" t="s">
        <v>151</v>
      </c>
      <c r="R11">
        <v>0</v>
      </c>
      <c r="S11">
        <v>0</v>
      </c>
      <c r="T11" t="s">
        <v>150</v>
      </c>
      <c r="U11" t="s">
        <v>150</v>
      </c>
      <c r="V11">
        <f>(15*60)+33.542-240-54.535</f>
        <v>639.00700000000006</v>
      </c>
    </row>
    <row r="12" spans="1:24" x14ac:dyDescent="0.25">
      <c r="A12" s="2" t="d">
        <v>2025-06-06T12:00:44.99999983236193650</v>
      </c>
      <c r="B12" s="2" t="d">
        <v>2025-06-06T12:51:15.0000002793967725</v>
      </c>
      <c r="C12" s="2" t="d">
        <v>2025-06-06T12:51:16.04099996387958375</v>
      </c>
      <c r="D12" t="str">
        <v>R_5fW7FlSpdkUrMsx</v>
      </c>
      <c r="E12">
        <v>2</v>
      </c>
      <c r="F12">
        <v>1</v>
      </c>
      <c r="G12" t="s">
        <v>176</v>
      </c>
      <c r="H12" t="s">
        <v>165</v>
      </c>
      <c r="I12" t="s">
        <v>150</v>
      </c>
      <c r="K12" t="s">
        <v>214</v>
      </c>
      <c r="L12">
        <f>180+33.23-59.758</f>
        <v>153.47199999999998</v>
      </c>
      <c r="M12" t="s">
        <v>150</v>
      </c>
      <c r="O12" t="s">
        <v>151</v>
      </c>
      <c r="P12">
        <v>3</v>
      </c>
      <c r="Q12" t="s">
        <v>151</v>
      </c>
      <c r="R12">
        <v>0</v>
      </c>
      <c r="S12">
        <v>1</v>
      </c>
      <c r="T12" t="s">
        <v>151</v>
      </c>
      <c r="U12" t="s">
        <v>150</v>
      </c>
      <c r="V12">
        <f>(15*60)+22.35-180-33.23</f>
        <v>709.12</v>
      </c>
    </row>
    <row r="13" spans="1:24" x14ac:dyDescent="0.25">
      <c r="A13" s="2" t="d">
        <v>2025-06-06T12:51:39.99999983701854825</v>
      </c>
      <c r="B13" s="2" t="d">
        <v>2025-06-06T13:13:32.99999998882412775</v>
      </c>
      <c r="C13" s="2" t="d">
        <v>2025-06-06T13:13:33.71300029568374050</v>
      </c>
      <c r="D13" t="str">
        <v>R_1pxhkUPBiImXy49</v>
      </c>
      <c r="E13">
        <v>2</v>
      </c>
      <c r="F13">
        <v>2</v>
      </c>
      <c r="G13" t="s">
        <v>171</v>
      </c>
      <c r="I13" t="s">
        <v>151</v>
      </c>
      <c r="J13" t="s">
        <v>151</v>
      </c>
      <c r="K13" t="s">
        <v>215</v>
      </c>
      <c r="L13">
        <f>180+49.558-5.037</f>
        <v>224.52099999999999</v>
      </c>
      <c r="M13" t="s">
        <v>150</v>
      </c>
      <c r="O13" t="s">
        <v>150</v>
      </c>
      <c r="P13">
        <v>3</v>
      </c>
      <c r="Q13" t="s">
        <v>151</v>
      </c>
      <c r="R13">
        <v>1</v>
      </c>
      <c r="S13">
        <v>1</v>
      </c>
      <c r="T13" t="s">
        <v>151</v>
      </c>
      <c r="U13" t="s">
        <v>200</v>
      </c>
      <c r="V13">
        <f>720+24.878-180-49.558</f>
        <v>515.32000000000005</v>
      </c>
    </row>
    <row r="14" spans="1:24" x14ac:dyDescent="0.25">
      <c r="A14" s="2" t="d">
        <v>2025-06-06T14:13:19.99999988358467925</v>
      </c>
      <c r="B14" s="2" t="d">
        <v>2025-06-06T14:53:44.00000011548399975</v>
      </c>
      <c r="C14" s="2" t="d">
        <v>2025-06-06T14:53:45.63600009307265400</v>
      </c>
      <c r="D14" t="str">
        <v>R_1iqcLpIrD5JO3Sm</v>
      </c>
      <c r="E14">
        <v>3</v>
      </c>
      <c r="F14">
        <v>2</v>
      </c>
      <c r="G14" t="s">
        <v>176</v>
      </c>
      <c r="H14" t="s">
        <v>203</v>
      </c>
      <c r="I14" t="s">
        <v>150</v>
      </c>
      <c r="K14" t="s">
        <v>215</v>
      </c>
      <c r="L14">
        <f>180+39.2-2.752</f>
        <v>216.44799999999998</v>
      </c>
      <c r="M14" t="s">
        <v>150</v>
      </c>
      <c r="O14" t="s">
        <v>151</v>
      </c>
      <c r="P14">
        <v>2</v>
      </c>
      <c r="Q14" t="s">
        <v>151</v>
      </c>
      <c r="R14">
        <v>2</v>
      </c>
      <c r="S14">
        <v>1</v>
      </c>
      <c r="T14" t="s">
        <v>151</v>
      </c>
      <c r="U14" t="s">
        <v>150</v>
      </c>
      <c r="V14">
        <f>660+46-180-39.2</f>
        <v>486.8</v>
      </c>
      <c r="X14" s="6"/>
    </row>
    <row r="15" spans="1:24" x14ac:dyDescent="0.25">
      <c r="A15" s="2" t="d">
        <v>2025-06-06T15:34:29.000000227242708075</v>
      </c>
      <c r="B15" s="2" t="d">
        <v>2025-06-06T16:01:20.00000026077031875</v>
      </c>
      <c r="C15" s="2" t="d">
        <v>2025-06-06T16:01:21.44100029021501700</v>
      </c>
      <c r="D15" t="str">
        <v>R_7AR4rAcE50b1LFO</v>
      </c>
      <c r="E15">
        <v>3</v>
      </c>
      <c r="F15">
        <v>2</v>
      </c>
      <c r="G15" t="s">
        <v>171</v>
      </c>
      <c r="I15" t="s">
        <v>151</v>
      </c>
      <c r="J15" t="s">
        <v>151</v>
      </c>
      <c r="K15" t="s">
        <v>213</v>
      </c>
      <c r="L15">
        <f>180+39.45-3.653</f>
        <v>215.797</v>
      </c>
      <c r="M15" t="s">
        <v>151</v>
      </c>
      <c r="N15" t="s">
        <v>151</v>
      </c>
      <c r="O15" t="s">
        <v>151</v>
      </c>
      <c r="P15">
        <v>2</v>
      </c>
      <c r="Q15" t="s">
        <v>151</v>
      </c>
      <c r="S15">
        <v>2</v>
      </c>
      <c r="T15" t="s">
        <v>151</v>
      </c>
      <c r="U15" t="s">
        <v>193</v>
      </c>
      <c r="V15">
        <f>480+52.765-23.383</f>
        <v>509.38200000000001</v>
      </c>
      <c r="X15" s="6"/>
    </row>
  </sheetData>
  <pageMargins left="0.7" right="0.7" top="0.75" bottom="0.75" header="0.3" footer="0.3"/>
  <pageSetup orientation="portrait" r:id="rId1"/>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352A9-0F73-42EA-97F8-59AC18186F41}">
  <dimension ref="A1:A6"/>
  <sheetViews>
    <sheetView workbookViewId="0">
      <selection activeCell="A7" sqref="A7"/>
    </sheetView>
  </sheetViews>
  <sheetFormatPr defaultRowHeight="15" x14ac:dyDescent="0.25"/>
  <sheetData>
    <row r="1" spans="1:1" x14ac:dyDescent="0.25">
      <c r="A1" t="s">
        <v>173</v>
      </c>
    </row>
    <row r="2" spans="1:1" x14ac:dyDescent="0.25">
      <c r="A2" t="s">
        <v>175</v>
      </c>
    </row>
    <row r="3" spans="1:1" x14ac:dyDescent="0.25">
      <c r="A3" t="s">
        <v>177</v>
      </c>
    </row>
    <row r="4" spans="1:1" x14ac:dyDescent="0.25">
      <c r="A4" t="s">
        <v>180</v>
      </c>
    </row>
    <row r="5" spans="1:1" x14ac:dyDescent="0.25">
      <c r="A5" t="s">
        <v>196</v>
      </c>
    </row>
    <row r="6" spans="1:1" x14ac:dyDescent="0.25">
      <c r="A6" t="s">
        <v>204</v>
      </c>
    </row>
  </sheetData>
  <pageMargins left="0.7" right="0.7" top="0.75" bottom="0.75" header="0.3" footer="0.3"/>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73520-3765-4E56-B962-B5C82CC5589C}">
  <dimension ref="A1:O20"/>
  <sheetViews>
    <sheetView workbookViewId="0">
      <selection activeCell="I1" sqref="I1"/>
    </sheetView>
  </sheetViews>
  <sheetFormatPr defaultRowHeight="15" x14ac:dyDescent="0.25"/>
  <cols>
    <col min="1" max="3" width="15.5703125" bestFit="1" customWidth="1"/>
    <col min="4" max="4" width="20.140625" bestFit="1" customWidth="1"/>
    <col min="5" max="5" width="14.7109375" bestFit="1" customWidth="1"/>
    <col min="6" max="6" width="14" customWidth="1"/>
    <col min="7" max="7" width="15.7109375" bestFit="1" customWidth="1"/>
    <col min="8" max="8" width="12.140625" customWidth="1"/>
  </cols>
  <sheetData>
    <row r="1" spans="1:15" x14ac:dyDescent="0.25">
      <c r="A1" t="str" cm="1">
        <f t="array" ref="A1:D15">survey!A1:D15</f>
        <v>Start Date</v>
      </c>
      <c r="B1" t="str">
        <v>End Date</v>
      </c>
      <c r="C1" t="str">
        <v>Recorded Date</v>
      </c>
      <c r="D1" t="str">
        <v>Response ID</v>
      </c>
      <c r="E1" s="1" t="s">
        <v>100</v>
      </c>
      <c r="F1" s="1" t="s">
        <v>101</v>
      </c>
      <c r="G1" s="1" t="s">
        <v>102</v>
      </c>
      <c r="H1" s="1" t="s">
        <v>103</v>
      </c>
      <c r="I1" s="1" t="s">
        <v>104</v>
      </c>
      <c r="J1" s="1" t="s">
        <v>105</v>
      </c>
      <c r="K1" s="1" t="s">
        <v>106</v>
      </c>
      <c r="L1" s="1" t="s">
        <v>207</v>
      </c>
      <c r="M1" s="1" t="s">
        <v>208</v>
      </c>
      <c r="N1" s="1" t="s">
        <v>209</v>
      </c>
      <c r="O1" s="1" t="s">
        <v>210</v>
      </c>
    </row>
    <row r="2" spans="1:15" x14ac:dyDescent="0.25">
      <c r="A2" s="2" t="d">
        <v>2025-06-04T08:22:54.99999976716935850</v>
      </c>
      <c r="B2" s="2" t="d">
        <v>2025-06-04T09:36:56.00000001490116300</v>
      </c>
      <c r="C2" s="2" t="d">
        <v>2025-06-04T09:36:56.94599983748048325</v>
      </c>
      <c r="D2" t="str">
        <v>R_5qVjsvNV1nUQQkF</v>
      </c>
      <c r="E2" s="5" t="s">
        <v>55</v>
      </c>
      <c r="F2" s="5">
        <v>1</v>
      </c>
      <c r="G2" s="5" t="s">
        <v>55</v>
      </c>
      <c r="H2" s="5">
        <v>0</v>
      </c>
      <c r="I2" s="5">
        <v>0</v>
      </c>
      <c r="J2" s="5">
        <v>20</v>
      </c>
      <c r="K2" s="5">
        <v>0</v>
      </c>
      <c r="L2" s="5">
        <v>30</v>
      </c>
      <c r="M2" s="5">
        <v>33</v>
      </c>
      <c r="N2" t="s">
        <v>150</v>
      </c>
      <c r="O2" s="7">
        <f>L2+M2</f>
        <v>63</v>
      </c>
    </row>
    <row r="3" spans="1:15" x14ac:dyDescent="0.25">
      <c r="A3" s="2" t="d">
        <v>2025-06-04T08:27:17.000000034458935050</v>
      </c>
      <c r="B3" s="2" t="d">
        <v>2025-06-04T12:17:48.99999969173222925</v>
      </c>
      <c r="C3" s="2" t="d">
        <v>2025-06-04T12:17:49.5770000573247675</v>
      </c>
      <c r="D3" t="str">
        <v>R_5HRCaY9LEPHziQY</v>
      </c>
      <c r="E3" s="5">
        <v>2</v>
      </c>
      <c r="F3" s="5" t="s">
        <v>55</v>
      </c>
      <c r="G3" s="5" t="s">
        <v>55</v>
      </c>
      <c r="H3" s="5">
        <v>100</v>
      </c>
      <c r="I3" s="5">
        <v>1000</v>
      </c>
      <c r="J3" s="5">
        <v>5</v>
      </c>
      <c r="K3" s="5">
        <v>0</v>
      </c>
      <c r="L3" s="5">
        <v>35</v>
      </c>
      <c r="M3" s="5">
        <v>32</v>
      </c>
      <c r="N3" t="s">
        <v>150</v>
      </c>
      <c r="O3" s="7">
        <f t="shared" ref="O3:O15" si="0">L3+M3</f>
        <v>67</v>
      </c>
    </row>
    <row r="4" spans="1:15" x14ac:dyDescent="0.25">
      <c r="A4" s="2" t="d">
        <v>2025-06-04T12:19:01.00000017788261475</v>
      </c>
      <c r="B4" s="2" t="d">
        <v>2025-06-04T12:47:05.00000030267983800</v>
      </c>
      <c r="C4" s="2" t="d">
        <v>2025-06-04T12:47:05.63799975905567175</v>
      </c>
      <c r="D4" t="str">
        <v>R_60OsKhgbCIBwRyd</v>
      </c>
      <c r="E4" s="5">
        <v>3</v>
      </c>
      <c r="F4" s="5" t="s">
        <v>55</v>
      </c>
      <c r="G4" s="5" t="s">
        <v>55</v>
      </c>
      <c r="H4" s="5">
        <v>500</v>
      </c>
      <c r="I4" s="5">
        <v>2000</v>
      </c>
      <c r="J4" s="5">
        <v>5</v>
      </c>
      <c r="K4" s="5">
        <v>1</v>
      </c>
      <c r="L4" s="5">
        <v>30</v>
      </c>
      <c r="M4" s="5">
        <v>21</v>
      </c>
      <c r="N4" t="s">
        <v>150</v>
      </c>
      <c r="O4" s="7">
        <f t="shared" si="0"/>
        <v>51</v>
      </c>
    </row>
    <row r="5" spans="1:15" x14ac:dyDescent="0.25">
      <c r="A5" s="2" t="d">
        <v>2025-06-04T11:13:03.99999991524964725</v>
      </c>
      <c r="B5" s="2" t="d">
        <v>2025-06-04T13:27:27.00000006705522675</v>
      </c>
      <c r="C5" s="2" t="d">
        <v>2025-06-04T13:27:27.46100013144314400</v>
      </c>
      <c r="D5" t="str">
        <v>R_5mSw8HPevBLdV4d</v>
      </c>
      <c r="E5" s="5" t="s">
        <v>55</v>
      </c>
      <c r="F5" s="5" t="s">
        <v>55</v>
      </c>
      <c r="G5" s="5">
        <v>20</v>
      </c>
      <c r="H5" s="5">
        <v>500</v>
      </c>
      <c r="I5" s="5">
        <v>20000</v>
      </c>
      <c r="J5" s="5">
        <v>1000</v>
      </c>
      <c r="K5" s="5">
        <v>20</v>
      </c>
      <c r="L5" s="5">
        <v>30</v>
      </c>
      <c r="M5" s="5">
        <v>21</v>
      </c>
      <c r="N5" t="s">
        <v>151</v>
      </c>
      <c r="O5" s="7">
        <f t="shared" si="0"/>
        <v>51</v>
      </c>
    </row>
    <row r="6" spans="1:15" x14ac:dyDescent="0.25">
      <c r="A6" s="2" t="d">
        <v>2025-06-04T13:48:26.00000016856938450</v>
      </c>
      <c r="B6" s="2" t="d">
        <v>2025-06-04T14:25:22.99999978858977525</v>
      </c>
      <c r="C6" s="2" t="d">
        <v>2025-06-04T14:25:24.26600013859569900</v>
      </c>
      <c r="D6" t="str">
        <v>R_3do5dDARlTtFow2</v>
      </c>
      <c r="E6" s="5" t="s">
        <v>55</v>
      </c>
      <c r="F6" s="5" t="s">
        <v>55</v>
      </c>
      <c r="G6" s="5">
        <v>11</v>
      </c>
      <c r="H6" s="5">
        <v>600</v>
      </c>
      <c r="I6" s="5">
        <v>14000</v>
      </c>
      <c r="J6" s="5">
        <v>100</v>
      </c>
      <c r="K6" s="5">
        <v>0</v>
      </c>
      <c r="L6" s="5">
        <v>30</v>
      </c>
      <c r="M6" s="5">
        <v>26</v>
      </c>
      <c r="N6" t="s">
        <v>151</v>
      </c>
      <c r="O6" s="7">
        <f t="shared" si="0"/>
        <v>56</v>
      </c>
    </row>
    <row r="7" spans="1:15" x14ac:dyDescent="0.25">
      <c r="A7" s="2" t="d">
        <v>2025-06-05T07:58:04.00000012479722325</v>
      </c>
      <c r="B7" s="2" t="d">
        <v>2025-06-05T08:40:28.99999972432851825</v>
      </c>
      <c r="C7" s="2" t="d">
        <v>2025-06-05T08:40:29.60600000806152975</v>
      </c>
      <c r="D7" t="str">
        <v>R_3NQyd680PZZcMFY</v>
      </c>
      <c r="E7" s="5" t="s">
        <v>55</v>
      </c>
      <c r="F7" s="5" t="s">
        <v>55</v>
      </c>
      <c r="G7" s="5">
        <v>3</v>
      </c>
      <c r="H7" s="5">
        <v>500</v>
      </c>
      <c r="I7" s="5">
        <v>4000</v>
      </c>
      <c r="J7" s="5">
        <v>50</v>
      </c>
      <c r="K7" s="5">
        <v>0</v>
      </c>
      <c r="L7" s="5">
        <v>35</v>
      </c>
      <c r="M7" s="5">
        <v>30</v>
      </c>
      <c r="N7" t="s">
        <v>151</v>
      </c>
      <c r="O7" s="7">
        <f t="shared" si="0"/>
        <v>65</v>
      </c>
    </row>
    <row r="8" spans="1:15" x14ac:dyDescent="0.25">
      <c r="A8" s="2" t="d">
        <v>2025-06-05T14:50:44.99999976251274675</v>
      </c>
      <c r="B8" s="2" t="d">
        <v>2025-06-05T15:29:44.00000024121254400</v>
      </c>
      <c r="C8" s="2" t="d">
        <v>2025-06-05T15:29:45.1790002081543200</v>
      </c>
      <c r="D8" t="str">
        <v>R_3Hkd05oftH0A6pH</v>
      </c>
      <c r="E8" s="5" t="s">
        <v>55</v>
      </c>
      <c r="F8" s="5" t="s">
        <v>55</v>
      </c>
      <c r="G8" s="5">
        <v>1</v>
      </c>
      <c r="H8" s="5">
        <v>500</v>
      </c>
      <c r="I8" s="5">
        <v>3500</v>
      </c>
      <c r="J8" s="5">
        <v>50</v>
      </c>
      <c r="K8" s="5">
        <v>0</v>
      </c>
      <c r="L8" s="5">
        <v>35</v>
      </c>
      <c r="M8" s="5">
        <v>21</v>
      </c>
      <c r="N8" t="s">
        <v>151</v>
      </c>
      <c r="O8" s="7">
        <f t="shared" si="0"/>
        <v>56</v>
      </c>
    </row>
    <row r="9" spans="1:15" x14ac:dyDescent="0.25">
      <c r="A9" s="2" t="d">
        <v>2025-06-05T15:38:42.00000027660280275</v>
      </c>
      <c r="B9" s="2" t="d">
        <v>2025-06-05T15:56:56.999999759718775650</v>
      </c>
      <c r="C9" s="2" t="d">
        <v>2025-06-05T15:56:58.388999719172715825</v>
      </c>
      <c r="D9" t="str">
        <v>R_79nPOftvEFuZG7H</v>
      </c>
      <c r="E9" s="5" t="s">
        <v>55</v>
      </c>
      <c r="F9" s="5" t="s">
        <v>55</v>
      </c>
      <c r="G9" s="5">
        <v>8</v>
      </c>
      <c r="H9" s="5">
        <v>600</v>
      </c>
      <c r="I9" s="5">
        <v>10000</v>
      </c>
      <c r="J9" s="5">
        <v>150</v>
      </c>
      <c r="K9" s="5">
        <v>15</v>
      </c>
      <c r="L9" s="5">
        <v>30</v>
      </c>
      <c r="M9" s="5">
        <v>8</v>
      </c>
      <c r="N9" t="s">
        <v>151</v>
      </c>
      <c r="O9" s="7">
        <f t="shared" si="0"/>
        <v>38</v>
      </c>
    </row>
    <row r="10" spans="1:15" x14ac:dyDescent="0.25">
      <c r="A10" s="2" t="d">
        <v>2025-06-05T15:57:13.999999961815774200</v>
      </c>
      <c r="B10" s="2" t="d">
        <v>2025-06-05T16:29:40.99999995902180850</v>
      </c>
      <c r="C10" s="2" t="d">
        <v>2025-06-05T16:29:41.93599996156990200</v>
      </c>
      <c r="D10" t="str">
        <v>R_32xqPOxwfN2c99H</v>
      </c>
      <c r="E10" s="5" t="s">
        <v>55</v>
      </c>
      <c r="F10" s="5" t="s">
        <v>55</v>
      </c>
      <c r="G10" s="5">
        <v>2</v>
      </c>
      <c r="H10" s="5">
        <v>500</v>
      </c>
      <c r="I10" s="5">
        <v>5000</v>
      </c>
      <c r="J10" s="5">
        <v>25</v>
      </c>
      <c r="K10" s="5">
        <v>0</v>
      </c>
      <c r="L10" s="5">
        <v>35</v>
      </c>
      <c r="M10" s="5">
        <v>13</v>
      </c>
      <c r="N10" t="s">
        <v>151</v>
      </c>
      <c r="O10" s="7">
        <f t="shared" si="0"/>
        <v>48</v>
      </c>
    </row>
    <row r="11" spans="1:15" x14ac:dyDescent="0.25">
      <c r="A11" s="2" t="d">
        <v>2025-06-06T09:53:35.99999992176890100</v>
      </c>
      <c r="B11" s="2" t="d">
        <v>2025-06-06T10:24:54.99999973922968125</v>
      </c>
      <c r="C11" s="2" t="d">
        <v>2025-06-06T10:24:56.10999987926334225</v>
      </c>
      <c r="D11" t="str">
        <v>R_31iOAJPZHN3HzBN</v>
      </c>
      <c r="E11" s="5" t="s">
        <v>55</v>
      </c>
      <c r="F11" s="5" t="s">
        <v>55</v>
      </c>
      <c r="G11" s="5">
        <v>29</v>
      </c>
      <c r="H11" s="5">
        <v>350</v>
      </c>
      <c r="I11" s="5">
        <v>20000</v>
      </c>
      <c r="J11" s="5">
        <v>0</v>
      </c>
      <c r="K11" s="5">
        <v>0</v>
      </c>
      <c r="L11" s="5">
        <v>35</v>
      </c>
      <c r="M11" s="5">
        <v>25</v>
      </c>
      <c r="N11" t="s">
        <v>151</v>
      </c>
      <c r="O11" s="7">
        <f t="shared" si="0"/>
        <v>60</v>
      </c>
    </row>
    <row r="12" spans="1:15" x14ac:dyDescent="0.25">
      <c r="A12" s="2" t="d">
        <v>2025-06-06T12:00:44.99999983236193650</v>
      </c>
      <c r="B12" s="2" t="d">
        <v>2025-06-06T12:51:15.0000002793967725</v>
      </c>
      <c r="C12" s="2" t="d">
        <v>2025-06-06T12:51:16.04099996387958375</v>
      </c>
      <c r="D12" t="str">
        <v>R_5fW7FlSpdkUrMsx</v>
      </c>
      <c r="E12" s="5" t="s">
        <v>55</v>
      </c>
      <c r="F12" s="5" t="s">
        <v>55</v>
      </c>
      <c r="G12" s="5">
        <v>39</v>
      </c>
      <c r="H12" s="5">
        <v>400</v>
      </c>
      <c r="I12" s="5">
        <v>30000</v>
      </c>
      <c r="J12" s="5">
        <v>0</v>
      </c>
      <c r="K12" s="5">
        <v>0</v>
      </c>
      <c r="L12" s="5">
        <v>50</v>
      </c>
      <c r="M12" s="5">
        <v>21</v>
      </c>
      <c r="N12" t="s">
        <v>151</v>
      </c>
      <c r="O12" s="7">
        <f t="shared" si="0"/>
        <v>71</v>
      </c>
    </row>
    <row r="13" spans="1:15" x14ac:dyDescent="0.25">
      <c r="A13" s="2" t="d">
        <v>2025-06-06T12:51:39.99999983701854825</v>
      </c>
      <c r="B13" s="2" t="d">
        <v>2025-06-06T13:13:32.99999998882412775</v>
      </c>
      <c r="C13" s="2" t="d">
        <v>2025-06-06T13:13:33.71300029568374050</v>
      </c>
      <c r="D13" t="str">
        <v>R_1pxhkUPBiImXy49</v>
      </c>
      <c r="E13" s="5">
        <v>1</v>
      </c>
      <c r="F13" s="5" t="s">
        <v>55</v>
      </c>
      <c r="G13" s="5" t="s">
        <v>55</v>
      </c>
      <c r="H13" s="5">
        <v>0</v>
      </c>
      <c r="I13" s="5">
        <v>0</v>
      </c>
      <c r="J13" s="5">
        <v>0</v>
      </c>
      <c r="K13" s="5">
        <v>0</v>
      </c>
      <c r="L13" s="5">
        <v>45</v>
      </c>
      <c r="M13" s="5">
        <v>26</v>
      </c>
      <c r="N13" t="s">
        <v>150</v>
      </c>
      <c r="O13" s="7">
        <f t="shared" si="0"/>
        <v>71</v>
      </c>
    </row>
    <row r="14" spans="1:15" x14ac:dyDescent="0.25">
      <c r="A14" s="2" t="d">
        <v>2025-06-06T14:13:19.99999988358467925</v>
      </c>
      <c r="B14" s="2" t="d">
        <v>2025-06-06T14:53:44.00000011548399975</v>
      </c>
      <c r="C14" s="2" t="d">
        <v>2025-06-06T14:53:45.63600009307265400</v>
      </c>
      <c r="D14" t="str">
        <v>R_1iqcLpIrD5JO3Sm</v>
      </c>
      <c r="E14" s="5" t="s">
        <v>55</v>
      </c>
      <c r="F14" s="5" t="s">
        <v>55</v>
      </c>
      <c r="G14" s="5">
        <v>1.5</v>
      </c>
      <c r="H14" s="5">
        <v>550</v>
      </c>
      <c r="I14" s="5">
        <v>3000</v>
      </c>
      <c r="J14" s="5">
        <v>20</v>
      </c>
      <c r="K14" s="5">
        <v>0</v>
      </c>
      <c r="L14" s="5">
        <v>25</v>
      </c>
      <c r="M14" s="5">
        <v>11</v>
      </c>
      <c r="N14" t="s">
        <v>151</v>
      </c>
      <c r="O14" s="7">
        <f t="shared" si="0"/>
        <v>36</v>
      </c>
    </row>
    <row r="15" spans="1:15" x14ac:dyDescent="0.25">
      <c r="A15" s="2" t="d">
        <v>2025-06-06T15:34:29.000000227242708075</v>
      </c>
      <c r="B15" s="2" t="d">
        <v>2025-06-06T16:01:20.00000026077031875</v>
      </c>
      <c r="C15" s="2" t="d">
        <v>2025-06-06T16:01:21.44100029021501700</v>
      </c>
      <c r="D15" t="str">
        <v>R_7AR4rAcE50b1LFO</v>
      </c>
      <c r="E15" s="5">
        <v>2</v>
      </c>
      <c r="F15" s="5" t="s">
        <v>55</v>
      </c>
      <c r="G15" s="5" t="s">
        <v>55</v>
      </c>
      <c r="H15" s="5">
        <v>200</v>
      </c>
      <c r="I15" s="5">
        <v>800</v>
      </c>
      <c r="J15" s="5">
        <v>0</v>
      </c>
      <c r="K15" s="5">
        <v>0</v>
      </c>
      <c r="L15" s="5">
        <v>35</v>
      </c>
      <c r="M15" s="5">
        <v>19</v>
      </c>
      <c r="N15" t="s">
        <v>150</v>
      </c>
      <c r="O15" s="7">
        <f t="shared" si="0"/>
        <v>54</v>
      </c>
    </row>
    <row r="20" spans="12:12" x14ac:dyDescent="0.25">
      <c r="L20" s="7">
        <f>AVERAGE(M5:M12,M14)</f>
        <v>19.555555555555557</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survey</vt:lpstr>
      <vt:lpstr>survey with sane headers</vt:lpstr>
      <vt:lpstr>video metrics</vt:lpstr>
      <vt:lpstr>video metrics clean</vt:lpstr>
      <vt:lpstr>video metrics notes</vt:lpstr>
      <vt:lpstr>metrics vs experience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Ayhan, Doruk</dc:creator>
  <cp:keywords/>
  <dc:description/>
  <cp:lastModifiedBy>Ayhan, Doruk</cp:lastModifiedBy>
  <cp:revision/>
  <dcterms:created xsi:type="dcterms:W3CDTF">2025-06-10T14:07:32Z</dcterms:created>
  <dcterms:modified xsi:type="dcterms:W3CDTF">2025-11-10T04:10:16Z</dcterms:modified>
  <cp:category/>
  <cp:contentStatus/>
</cp:coreProperties>
</file>